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ily Plan" sheetId="2" state="visible" r:id="rId4"/>
    <sheet name="Projects" sheetId="3" state="visible" r:id="rId5"/>
    <sheet name="Papers" sheetId="4" state="visible" r:id="rId6"/>
    <sheet name="Resources" sheetId="5" state="visible" r:id="rId7"/>
  </sheets>
  <definedNames>
    <definedName function="false" hidden="false" localSheetId="1" name="_xlnm.Print_Titles" vbProcedure="false">'Daily Plan'!$1:$1</definedName>
    <definedName function="false" hidden="true" localSheetId="1" name="_xlnm._FilterDatabase" vbProcedure="false">'Daily Plan'!$A$1:$M$168</definedName>
    <definedName function="false" hidden="false" localSheetId="3" name="_xlnm.Print_Titles" vbProcedure="false">Papers!$1:$1</definedName>
    <definedName function="false" hidden="true" localSheetId="3" name="_xlnm._FilterDatabase" vbProcedure="false">Papers!$A$1:$O$82</definedName>
    <definedName function="false" hidden="false" localSheetId="2" name="_xlnm.Print_Titles" vbProcedure="false">Projects!$1:$1</definedName>
    <definedName function="false" hidden="false" localSheetId="4" name="_xlnm.Print_Titles" vbProcedure="false">Resources!$1:$1</definedName>
    <definedName function="false" hidden="true" localSheetId="4" name="_xlnm._FilterDatabase" vbProcedure="false">Resources!$A$1:$G$137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<sst xmlns="http://schemas.openxmlformats.org/spreadsheetml/2006/main" count="3465" uniqueCount="1601">
  <si>
    <t xml:space="preserve">AI Software Engineer - 2026 sprint plan</t>
  </si>
  <si>
    <t xml:space="preserve">28 Sep 2026 -&gt; 31 Dec 2026. Tick tasks in 'Daily Plan' column L (choose ☑). Every number on this page is a formula over the other sheets.</t>
  </si>
  <si>
    <t xml:space="preserve">How to use: only edit the blue/yellow cells - Done (☐/☑) in Daily Plan / Projects / Papers, Status in Projects, and Notes. Excel 365 users may convert the Done column to native checkboxes (Insert &gt; Checkbox); the formulas count both.</t>
  </si>
  <si>
    <t xml:space="preserve">Overall progress</t>
  </si>
  <si>
    <t xml:space="preserve">Start date</t>
  </si>
  <si>
    <t xml:space="preserve">End date</t>
  </si>
  <si>
    <t xml:space="preserve">Study days</t>
  </si>
  <si>
    <t xml:space="preserve">Tasks planned</t>
  </si>
  <si>
    <t xml:space="preserve">Tasks done</t>
  </si>
  <si>
    <t xml:space="preserve">Tasks done (%)</t>
  </si>
  <si>
    <t xml:space="preserve">Hours planned</t>
  </si>
  <si>
    <t xml:space="preserve">Hours done</t>
  </si>
  <si>
    <t xml:space="preserve">Hours done (%)</t>
  </si>
  <si>
    <t xml:space="preserve">Tasks scheduled up to today</t>
  </si>
  <si>
    <t xml:space="preserve">Ahead (+) / behind (-) in tasks</t>
  </si>
  <si>
    <t xml:space="preserve">Projects done</t>
  </si>
  <si>
    <t xml:space="preserve">Papers read</t>
  </si>
  <si>
    <t xml:space="preserve">Assumptions: 3.5 h Mon-Fri, 4.0 h Sat, Sunday rest; 25 Dec is a 0-hour buffer. Source: plan design (tools/plan_data.py).</t>
  </si>
  <si>
    <t xml:space="preserve">Progress by phase</t>
  </si>
  <si>
    <t xml:space="preserve">Phase</t>
  </si>
  <si>
    <t xml:space="preserve">Code</t>
  </si>
  <si>
    <t xml:space="preserve">Tasks</t>
  </si>
  <si>
    <t xml:space="preserve">Done</t>
  </si>
  <si>
    <t xml:space="preserve">Done %</t>
  </si>
  <si>
    <t xml:space="preserve">Hours</t>
  </si>
  <si>
    <t xml:space="preserve">Phase 0 - ML/DL revision</t>
  </si>
  <si>
    <t xml:space="preserve">P0</t>
  </si>
  <si>
    <t xml:space="preserve">Phase 1 - Transformers</t>
  </si>
  <si>
    <t xml:space="preserve">P1</t>
  </si>
  <si>
    <t xml:space="preserve">Phase 2 - LLMs &amp; language modeling</t>
  </si>
  <si>
    <t xml:space="preserve">P2</t>
  </si>
  <si>
    <t xml:space="preserve">Phase 3 - Embeddings &amp; information retrieval</t>
  </si>
  <si>
    <t xml:space="preserve">P3</t>
  </si>
  <si>
    <t xml:space="preserve">Phase 4 - RAG</t>
  </si>
  <si>
    <t xml:space="preserve">P4</t>
  </si>
  <si>
    <t xml:space="preserve">Phase 5 - LLM evaluation</t>
  </si>
  <si>
    <t xml:space="preserve">P5</t>
  </si>
  <si>
    <t xml:space="preserve">Phase 6 - Fine-tuning &amp; post-training</t>
  </si>
  <si>
    <t xml:space="preserve">P6</t>
  </si>
  <si>
    <t xml:space="preserve">Phase 7 - AI agents</t>
  </si>
  <si>
    <t xml:space="preserve">P7</t>
  </si>
  <si>
    <t xml:space="preserve">Phase 8 - MCP</t>
  </si>
  <si>
    <t xml:space="preserve">P8</t>
  </si>
  <si>
    <t xml:space="preserve">Phase 9 - Inference &amp; GPU optimization</t>
  </si>
  <si>
    <t xml:space="preserve">P9</t>
  </si>
  <si>
    <t xml:space="preserve">Phase 10 - Multimodal AI</t>
  </si>
  <si>
    <t xml:space="preserve">P10</t>
  </si>
  <si>
    <t xml:space="preserve">Phase 11 - Advanced LLM training (distributed, data, scaling)</t>
  </si>
  <si>
    <t xml:space="preserve">P11</t>
  </si>
  <si>
    <t xml:space="preserve">Phase 12 - RL for AI</t>
  </si>
  <si>
    <t xml:space="preserve">P12</t>
  </si>
  <si>
    <t xml:space="preserve">Phase 13 - Research skills (paper reading + reproductions)</t>
  </si>
  <si>
    <t xml:space="preserve">P13</t>
  </si>
  <si>
    <t xml:space="preserve">Capstone - AI Software Engineer</t>
  </si>
  <si>
    <t xml:space="preserve">CAP</t>
  </si>
  <si>
    <t xml:space="preserve">Progress by week</t>
  </si>
  <si>
    <t xml:space="preserve">Week focus</t>
  </si>
  <si>
    <t xml:space="preserve">Week</t>
  </si>
  <si>
    <t xml:space="preserve">Starts</t>
  </si>
  <si>
    <t xml:space="preserve">Diagnostic revision -&gt; attention from scratch</t>
  </si>
  <si>
    <t xml:space="preserve">W1</t>
  </si>
  <si>
    <t xml:space="preserve">The modern Transformer block (Llama-style) + encoder-decoder</t>
  </si>
  <si>
    <t xml:space="preserve">W2</t>
  </si>
  <si>
    <t xml:space="preserve">Tokenization + training a small GPT (CS336 Assignment 1)</t>
  </si>
  <si>
    <t xml:space="preserve">W3</t>
  </si>
  <si>
    <t xml:space="preserve">Inside inference: KV cache, sampling, scaling laws, MoE</t>
  </si>
  <si>
    <t xml:space="preserve">W4</t>
  </si>
  <si>
    <t xml:space="preserve">Embeddings, contrastive learning and vector search internals</t>
  </si>
  <si>
    <t xml:space="preserve">W5</t>
  </si>
  <si>
    <t xml:space="preserve">RAG: beginner -&gt; advanced -&gt; research level</t>
  </si>
  <si>
    <t xml:space="preserve">W6</t>
  </si>
  <si>
    <t xml:space="preserve">Evaluation like a professional AI team</t>
  </si>
  <si>
    <t xml:space="preserve">W7</t>
  </si>
  <si>
    <t xml:space="preserve">Fine-tuning: SFT, chat templates, LoRA and QLoRA</t>
  </si>
  <si>
    <t xml:space="preserve">W8</t>
  </si>
  <si>
    <t xml:space="preserve">RL for LLMs: RLHF, DPO, RLVR/GRPO and reasoning models</t>
  </si>
  <si>
    <t xml:space="preserve">W9</t>
  </si>
  <si>
    <t xml:space="preserve">Agents from first principles + MCP</t>
  </si>
  <si>
    <t xml:space="preserve">W10</t>
  </si>
  <si>
    <t xml:space="preserve">GPUs and LLM inference optimization</t>
  </si>
  <si>
    <t xml:space="preserve">W11</t>
  </si>
  <si>
    <t xml:space="preserve">Distributed training &amp; data (working knowledge) + multimodal AI</t>
  </si>
  <si>
    <t xml:space="preserve">W12</t>
  </si>
  <si>
    <t xml:space="preserve">Capstone build: AI Software Engineer (integration)</t>
  </si>
  <si>
    <t xml:space="preserve">W13</t>
  </si>
  <si>
    <t xml:space="preserve">Capstone hardening, final assessment, 2027 plan</t>
  </si>
  <si>
    <t xml:space="preserve">W14</t>
  </si>
  <si>
    <t xml:space="preserve">What you already know (skip or quick revision only)</t>
  </si>
  <si>
    <t xml:space="preserve">Topic</t>
  </si>
  <si>
    <t xml:space="preserve">Action in this plan</t>
  </si>
  <si>
    <t xml:space="preserve">Software engineering (design, testing, code review)</t>
  </si>
  <si>
    <t xml:space="preserve">Skip</t>
  </si>
  <si>
    <t xml:space="preserve">Backend / API development (FastAPI, REST, async)</t>
  </si>
  <si>
    <t xml:space="preserve">Cloud, infrastructure, DevOps</t>
  </si>
  <si>
    <t xml:space="preserve">Docker / Kubernetes</t>
  </si>
  <si>
    <t xml:space="preserve">Skip - used for sandboxes &amp; serving only</t>
  </si>
  <si>
    <t xml:space="preserve">Databases (Postgres etc.)</t>
  </si>
  <si>
    <t xml:space="preserve">Skip - pgvector is the only new part</t>
  </si>
  <si>
    <t xml:space="preserve">CI/CD</t>
  </si>
  <si>
    <t xml:space="preserve">Skip - reused for eval regression gates</t>
  </si>
  <si>
    <t xml:space="preserve">Python (advanced)</t>
  </si>
  <si>
    <t xml:space="preserve">PyTorch working knowledge</t>
  </si>
  <si>
    <t xml:space="preserve">Revise - einops, profiler, autograd internals (W1)</t>
  </si>
  <si>
    <t xml:space="preserve">Probability &amp; statistics basics</t>
  </si>
  <si>
    <t xml:space="preserve">Revise - MLE -&gt; cross-entropy, bootstrap CIs (W1, W7)</t>
  </si>
  <si>
    <t xml:space="preserve">Linear algebra</t>
  </si>
  <si>
    <t xml:space="preserve">Revise - matrix calculus for backprop, low-rank (W1, W8)</t>
  </si>
  <si>
    <t xml:space="preserve">Optimization (SGD, Adam)</t>
  </si>
  <si>
    <t xml:space="preserve">Revise - implement AdamW + schedules (W1, W3)</t>
  </si>
  <si>
    <t xml:space="preserve">Classical ML</t>
  </si>
  <si>
    <t xml:space="preserve">Skip - only evaluation metrics &amp; calibration revisited (W1)</t>
  </si>
  <si>
    <t xml:space="preserve">Bias / variance, regularization</t>
  </si>
  <si>
    <t xml:space="preserve">Revise - 1 hour incl. double descent (W1)</t>
  </si>
  <si>
    <t xml:space="preserve">Model evaluation (P/R/F1, ROC, calibration)</t>
  </si>
  <si>
    <t xml:space="preserve">Revise - 1 hour (W1)</t>
  </si>
  <si>
    <t xml:space="preserve">Backpropagation</t>
  </si>
  <si>
    <t xml:space="preserve">Revise - manual backward of an MLP + LayerNorm (W1)</t>
  </si>
  <si>
    <t xml:space="preserve">Neural networks / CNN basics</t>
  </si>
  <si>
    <t xml:space="preserve">Revise - CNN only as contrast for ViT (W12)</t>
  </si>
  <si>
    <t xml:space="preserve">What you are learning (target level) and deferred items</t>
  </si>
  <si>
    <t xml:space="preserve">MASTER = implement + explain without notes; WORKING = explain + use a library + one experiment; DEFER-2027 = scheduled in the 2027 continuation plan.</t>
  </si>
  <si>
    <t xml:space="preserve">Target level</t>
  </si>
  <si>
    <t xml:space="preserve">When</t>
  </si>
  <si>
    <t xml:space="preserve">Self-rating (1-5)</t>
  </si>
  <si>
    <t xml:space="preserve">Q/K/V, scaled dot-product, self/cross/causal attention, masking, MHA</t>
  </si>
  <si>
    <t xml:space="preserve">MASTER</t>
  </si>
  <si>
    <t xml:space="preserve">Embeddings, positional encoding, residuals, LayerNorm vs RMSNorm</t>
  </si>
  <si>
    <t xml:space="preserve">FFN vs SwiGLU, RoPE, GQA/MQA</t>
  </si>
  <si>
    <t xml:space="preserve">Encoder vs decoder vs encoder-decoder; decoder-only LLMs</t>
  </si>
  <si>
    <t xml:space="preserve">Mixture of Experts (routing, load balancing)</t>
  </si>
  <si>
    <t xml:space="preserve">WORKING</t>
  </si>
  <si>
    <t xml:space="preserve">Tokenization: BPE, byte-level BPE, SentencePiece/unigram, vocab trade-offs</t>
  </si>
  <si>
    <t xml:space="preserve">Next-token prediction, cross-entropy, teacher forcing, perplexity</t>
  </si>
  <si>
    <t xml:space="preserve">Training dynamics: AdamW, warmup + cosine, clipping, instability</t>
  </si>
  <si>
    <t xml:space="preserve">KV cache, prefill vs decode, context windows</t>
  </si>
  <si>
    <t xml:space="preserve">Sampling: temperature, top-k, top-p, min-p, beam search, logits</t>
  </si>
  <si>
    <t xml:space="preserve">Scaling laws, Chinchilla, model/data/compute trade-offs</t>
  </si>
  <si>
    <t xml:space="preserve">P2/P11</t>
  </si>
  <si>
    <t xml:space="preserve">Embeddings, cosine similarity, contrastive learning (InfoNCE)</t>
  </si>
  <si>
    <t xml:space="preserve">Sparse retrieval: TF-IDF, BM25</t>
  </si>
  <si>
    <t xml:space="preserve">ANN: IVF, product quantization, HNSW</t>
  </si>
  <si>
    <t xml:space="preserve">Vector DBs: FAISS, pgvector, Qdrant</t>
  </si>
  <si>
    <t xml:space="preserve">RAG pipeline: parsing, chunking, retrieval, context construction, generation</t>
  </si>
  <si>
    <t xml:space="preserve">Hybrid search, reranking, query rewriting, multi-query, HyDE, parent-child</t>
  </si>
  <si>
    <t xml:space="preserve">Context compression, metadata filtering, multi-vector retrieval</t>
  </si>
  <si>
    <t xml:space="preserve">Agentic RAG, Graph RAG, long-context retrieval, retrieval planning</t>
  </si>
  <si>
    <t xml:space="preserve">IR metrics: Recall@K, Precision@K, MRR, nDCG</t>
  </si>
  <si>
    <t xml:space="preserve">P4/P5</t>
  </si>
  <si>
    <t xml:space="preserve">W5, W7</t>
  </si>
  <si>
    <t xml:space="preserve">Faithfulness, groundedness, context &amp; answer relevance</t>
  </si>
  <si>
    <t xml:space="preserve">Golden datasets, error analysis, LLM-as-judge (pairwise, rubric), calibration</t>
  </si>
  <si>
    <t xml:space="preserve">Human evaluation, A/B testing, regression testing, statistics</t>
  </si>
  <si>
    <t xml:space="preserve">Tool-call &amp; agent evaluation</t>
  </si>
  <si>
    <t xml:space="preserve">P5/P7</t>
  </si>
  <si>
    <t xml:space="preserve">W7, W10</t>
  </si>
  <si>
    <t xml:space="preserve">Pretraining vs continued pretraining vs instruction tuning / SFT</t>
  </si>
  <si>
    <t xml:space="preserve">Chat templates, loss masking, dataset preparation</t>
  </si>
  <si>
    <t xml:space="preserve">LoRA, QLoRA, PEFT/adapters</t>
  </si>
  <si>
    <t xml:space="preserve">RLHF: reward models, PPO</t>
  </si>
  <si>
    <t xml:space="preserve">P6/P12</t>
  </si>
  <si>
    <t xml:space="preserve">DPO (+ ORPO/KTO/SimPO awareness)</t>
  </si>
  <si>
    <t xml:space="preserve">MDPs, policy gradients, advantage, actor-critic</t>
  </si>
  <si>
    <t xml:space="preserve">RLVR, GRPO, reasoning models, reward hacking</t>
  </si>
  <si>
    <t xml:space="preserve">Tool/function calling, agent loops, ReAct</t>
  </si>
  <si>
    <t xml:space="preserve">Planning, reflection, self-correction, memory, state</t>
  </si>
  <si>
    <t xml:space="preserve">Multi-agent, human-in-the-loop, agent security</t>
  </si>
  <si>
    <t xml:space="preserve">LangGraph: StateGraph, reducers, checkpointers, interrupts, streaming (P8 built on it)</t>
  </si>
  <si>
    <t xml:space="preserve">LangChain 1.0: create_agent, middleware, tools, structured output, retrievers; LangSmith tracing/evals</t>
  </si>
  <si>
    <t xml:space="preserve">P7/P4</t>
  </si>
  <si>
    <t xml:space="preserve">W6, W10</t>
  </si>
  <si>
    <t xml:space="preserve">smolagents, OpenAI Agents SDK, LlamaIndex (Workflows + RAG abstractions)</t>
  </si>
  <si>
    <t xml:space="preserve">MCP architecture, client/server, tools/resources/prompts, transports, auth</t>
  </si>
  <si>
    <t xml:space="preserve">GPU architecture, memory hierarchy, FLOPs, bandwidth, arithmetic intensity</t>
  </si>
  <si>
    <t xml:space="preserve">CUDA programming model + Triton basics</t>
  </si>
  <si>
    <t xml:space="preserve">Batching, continuous batching, TTFT/TPOT, throughput vs latency</t>
  </si>
  <si>
    <t xml:space="preserve">Quantization: FP16/BF16/FP8/INT8/INT4, GPTQ, AWQ</t>
  </si>
  <si>
    <t xml:space="preserve">FlashAttention, PagedAttention, speculative decoding</t>
  </si>
  <si>
    <t xml:space="preserve">vLLM (hands-on), TensorRT-LLM (overview)</t>
  </si>
  <si>
    <t xml:space="preserve">Distributed training: DP, ZeRO/FSDP, TP, PP, checkpointing</t>
  </si>
  <si>
    <t xml:space="preserve">Data: construction, filtering, dedup, mixtures, synthetic data</t>
  </si>
  <si>
    <t xml:space="preserve">ViT, CLIP, image embeddings, vision encoders</t>
  </si>
  <si>
    <t xml:space="preserve">VLM architecture: projection layers, alignment, training, fine-tuning</t>
  </si>
  <si>
    <t xml:space="preserve">OCR/document understanding, tables, charts, image RAG</t>
  </si>
  <si>
    <t xml:space="preserve">Audio: speech-to-text (Whisper), TTS; video understanding</t>
  </si>
  <si>
    <t xml:space="preserve">Paper reading (3-pass) + 6 small reproductions</t>
  </si>
  <si>
    <t xml:space="preserve">W1-W12</t>
  </si>
  <si>
    <t xml:space="preserve">AI Software Engineer capstone (integration of everything)</t>
  </si>
  <si>
    <t xml:space="preserve">W13-W14</t>
  </si>
  <si>
    <t xml:space="preserve">Writing CUDA kernels; FlashAttention-2 in Triton (CS336 A2)</t>
  </si>
  <si>
    <t xml:space="preserve">DEFER-2027</t>
  </si>
  <si>
    <t xml:space="preserve">Q1 2027</t>
  </si>
  <si>
    <t xml:space="preserve">TensorRT-LLM engines / SGLang internals in depth</t>
  </si>
  <si>
    <t xml:space="preserve">Implementing TP/PP/context parallelism from scratch (picotron)</t>
  </si>
  <si>
    <t xml:space="preserve">Pretraining data pipeline at scale (CS336 A4)</t>
  </si>
  <si>
    <t xml:space="preserve">Full scaling-law study (CS336 A3)</t>
  </si>
  <si>
    <t xml:space="preserve">Full RLHF-PPO trainer; RL at scale (verl); CS336 A5 full</t>
  </si>
  <si>
    <t xml:space="preserve">Training a VLM from scratch; video models; TTS training</t>
  </si>
  <si>
    <t xml:space="preserve">Q2 2027</t>
  </si>
  <si>
    <t xml:space="preserve">Long-context methods (YaRN, ring attention), SSMs/linear attention</t>
  </si>
  <si>
    <t xml:space="preserve">Full reproduction of a 2026 paper + public write-up</t>
  </si>
  <si>
    <t xml:space="preserve">Q1-Q2 2027</t>
  </si>
  <si>
    <t xml:space="preserve">LangGraph deployment / durable agents in production; other frameworks only if a job needs them</t>
  </si>
  <si>
    <t xml:space="preserve">Example: rate 'KV cache, prefill vs decode' as 4 once you can derive the memory formula close-book.</t>
  </si>
  <si>
    <t xml:space="preserve">#</t>
  </si>
  <si>
    <t xml:space="preserve">Date</t>
  </si>
  <si>
    <t xml:space="preserve">Day</t>
  </si>
  <si>
    <t xml:space="preserve">Type</t>
  </si>
  <si>
    <t xml:space="preserve">Description</t>
  </si>
  <si>
    <t xml:space="preserve">Link</t>
  </si>
  <si>
    <t xml:space="preserve">Deliverable / assignment</t>
  </si>
  <si>
    <t xml:space="preserve">Notes</t>
  </si>
  <si>
    <t xml:space="preserve">Mon</t>
  </si>
  <si>
    <t xml:space="preserve">Setup</t>
  </si>
  <si>
    <t xml:space="preserve">Workspace + GPU plan</t>
  </si>
  <si>
    <t xml:space="preserve">Create one monorepo for all 2026 projects (uv, pytest, ruff, wandb or tensorboard). Decide compute: Mac/Colab for small runs, rented A10/L4/4090 by the hour for training weeks.</t>
  </si>
  <si>
    <t xml:space="preserve">https://pytorch.org/get-started/locally/</t>
  </si>
  <si>
    <t xml:space="preserve">Repo skeleton</t>
  </si>
  <si>
    <t xml:space="preserve">☐</t>
  </si>
  <si>
    <t xml:space="preserve">Review</t>
  </si>
  <si>
    <t xml:space="preserve">Diagnostic self-test</t>
  </si>
  <si>
    <t xml:space="preserve">Take the Phase 0 self-test in the checkpoints file. Anything you answer confidently in &lt;2 min is skipped this week.</t>
  </si>
  <si>
    <t xml:space="preserve">https://github.com/anshu8830/anshu/blob/main/curriculum/08-skill-checkpoints.md</t>
  </si>
  <si>
    <t xml:space="preserve">List of gaps</t>
  </si>
  <si>
    <t xml:space="preserve">Reading</t>
  </si>
  <si>
    <t xml:space="preserve">Probability -&gt; MLE -&gt; cross-entropy; optimizers</t>
  </si>
  <si>
    <t xml:space="preserve">UDL ch. 5 (loss functions as MLE) and ch. 6 (SGD, momentum, Adam). Then implement AdamW from scratch and match PyTorch.</t>
  </si>
  <si>
    <t xml:space="preserve">https://udlbook.github.io/udlbook/</t>
  </si>
  <si>
    <t xml:space="preserve">adamw.py + test</t>
  </si>
  <si>
    <t xml:space="preserve">Tue</t>
  </si>
  <si>
    <t xml:space="preserve">Video</t>
  </si>
  <si>
    <t xml:space="preserve">Backprop by hand</t>
  </si>
  <si>
    <t xml:space="preserve">Backprop Ninja (skip if diagnostic passed). Exercise: manual backward for Linear-&gt;LayerNorm-&gt;GELU-&gt;Linear-&gt;softmax-CE; verify with torch.autograd.gradcheck.</t>
  </si>
  <si>
    <t xml:space="preserve">https://www.youtube.com/watch?v=q8SA3rM6ckI</t>
  </si>
  <si>
    <t xml:space="preserve">manual_backward.py</t>
  </si>
  <si>
    <t xml:space="preserve">Matrix calculus refresh</t>
  </si>
  <si>
    <t xml:space="preserve">Parr &amp; Howard sections on vector chain rule + UDL ch. 7. Derive dL/dlogits = softmax - onehot and the LayerNorm backward on paper.</t>
  </si>
  <si>
    <t xml:space="preserve">https://explained.ai/matrix-calculus/</t>
  </si>
  <si>
    <t xml:space="preserve">1-page derivation</t>
  </si>
  <si>
    <t xml:space="preserve">Wed</t>
  </si>
  <si>
    <t xml:space="preserve">PyTorch + resource accounting</t>
  </si>
  <si>
    <t xml:space="preserve">CS336 L2 (trace + video in 2026 playlist): tensors, einops, FLOPs and memory accounting. Exercise: FLOPs of a (B,T,d)x(d,4d) matmul; memory of a 1B model in fp32/bf16 incl. Adam states.</t>
  </si>
  <si>
    <t xml:space="preserve">https://cs336.stanford.edu/lectures/?trace=lecture_02</t>
  </si>
  <si>
    <t xml:space="preserve">accounting.md</t>
  </si>
  <si>
    <t xml:space="preserve">Generalization revision</t>
  </si>
  <si>
    <t xml:space="preserve">UDL ch. 8-9: bias/variance, double descent, weight decay, dropout, early stopping. 1 hour max.</t>
  </si>
  <si>
    <t xml:space="preserve">Evaluation revision</t>
  </si>
  <si>
    <t xml:space="preserve">Implement precision/recall/F1, ROC-AUC vs PR-AUC and expected calibration error (ECE) on a toy classifier.</t>
  </si>
  <si>
    <t xml:space="preserve">metrics.py</t>
  </si>
  <si>
    <t xml:space="preserve">Thu</t>
  </si>
  <si>
    <t xml:space="preserve">Attention intuition</t>
  </si>
  <si>
    <t xml:space="preserve">3Blue1Brown DL5 + DL6 back to back.</t>
  </si>
  <si>
    <t xml:space="preserve">https://www.youtube.com/watch?v=eMlx5fFNoYc</t>
  </si>
  <si>
    <t xml:space="preserve">Illustrated Transformer</t>
  </si>
  <si>
    <t xml:space="preserve">Read end-to-end; sketch the encoder/decoder data flow yourself.</t>
  </si>
  <si>
    <t xml:space="preserve">https://jalammar.github.io/illustrated-transformer/</t>
  </si>
  <si>
    <t xml:space="preserve">Hand-drawn diagram</t>
  </si>
  <si>
    <t xml:space="preserve">Paper</t>
  </si>
  <si>
    <t xml:space="preserve">Attention Is All You Need (3-pass)</t>
  </si>
  <si>
    <t xml:space="preserve">Read Keshav (15 min), then the paper: 3.1-3.2.3, 3.5, Table 3. Write notes with tensor shapes.</t>
  </si>
  <si>
    <t xml:space="preserve">https://arxiv.org/abs/1706.03762</t>
  </si>
  <si>
    <t xml:space="preserve">Paper notes #1</t>
  </si>
  <si>
    <t xml:space="preserve">Fri</t>
  </si>
  <si>
    <t xml:space="preserve">Math -&gt; tensor shapes</t>
  </si>
  <si>
    <t xml:space="preserve">Work through the attention concept note; fill every shape in the table yourself before reading the answer.</t>
  </si>
  <si>
    <t xml:space="preserve">https://github.com/anshu8830/anshu/blob/main/curriculum/concepts/01-attention-and-transformer.md</t>
  </si>
  <si>
    <t xml:space="preserve">Scaled dot-product attention</t>
  </si>
  <si>
    <t xml:space="preserve">Implement SDPA with causal + padding masks. Tests: equals F.scaled_dot_product_attention (atol 1e-6); perturbing future tokens does not change past outputs.</t>
  </si>
  <si>
    <t xml:space="preserve">P1: sdpa + tests</t>
  </si>
  <si>
    <t xml:space="preserve">Sat</t>
  </si>
  <si>
    <t xml:space="preserve">Multi-head + cross attention</t>
  </si>
  <si>
    <t xml:space="preserve">Fused QKV projection, split heads with view/transpose (or einops), output projection; cross-attention variant. Test against nn.MultiheadAttention with copied weights.</t>
  </si>
  <si>
    <t xml:space="preserve">https://nlp.seas.harvard.edu/annotated-transformer/</t>
  </si>
  <si>
    <t xml:space="preserve">P1: mha.py</t>
  </si>
  <si>
    <t xml:space="preserve">Experiment</t>
  </si>
  <si>
    <t xml:space="preserve">Attention experiments</t>
  </si>
  <si>
    <t xml:space="preserve">(a) remove 1/sqrt(d_k): plot softmax entropy vs d_k; (b) visualize attention maps on a toy sequence; (c) measure attention-matrix memory vs T.</t>
  </si>
  <si>
    <t xml:space="preserve">P1 notebook (DONE)</t>
  </si>
  <si>
    <t xml:space="preserve">Let's build GPT (code along)</t>
  </si>
  <si>
    <t xml:space="preserve">Watch at 1.25x and type the code; stop at each stage and predict the next change before Karpathy makes it.</t>
  </si>
  <si>
    <t xml:space="preserve">https://www.youtube.com/watch?v=kCc8FmEb1nY</t>
  </si>
  <si>
    <t xml:space="preserve">gpt_karpathy.py</t>
  </si>
  <si>
    <t xml:space="preserve">Annotated Transformer skim</t>
  </si>
  <si>
    <t xml:space="preserve">Skim the encoder-decoder parts you will need on Saturday.</t>
  </si>
  <si>
    <t xml:space="preserve">CS336 L3 - Architectures</t>
  </si>
  <si>
    <t xml:space="preserve">Video + slides: pre vs post norm, RMSNorm, SwiGLU, RoPE, parallel layers, d_ff = 8/3 d, head dim conventions.</t>
  </si>
  <si>
    <t xml:space="preserve">https://www.youtube.com/watch?v=lVynu4bo1rY</t>
  </si>
  <si>
    <t xml:space="preserve">Big LLM Architecture Comparison</t>
  </si>
  <si>
    <t xml:space="preserve">Read the Llama, Qwen, DeepSeek (MLA/MoE) and gpt-oss sections.</t>
  </si>
  <si>
    <t xml:space="preserve">https://magazine.sebastianraschka.com/p/the-big-llm-architecture-comparison</t>
  </si>
  <si>
    <t xml:space="preserve">Pre-LN, RMSNorm, GLU variants</t>
  </si>
  <si>
    <t xml:space="preserve">Short reads: Pre-LN sec. 1+3 (skip proofs), RMSNorm sec. 3, GLU Variants (whole).</t>
  </si>
  <si>
    <t xml:space="preserve">https://arxiv.org/abs/2002.04745</t>
  </si>
  <si>
    <t xml:space="preserve">Paper notes #2</t>
  </si>
  <si>
    <t xml:space="preserve">Block components</t>
  </si>
  <si>
    <t xml:space="preserve">Embeddings + (learned/sinusoidal) PE, LayerNorm &amp; RMSNorm, FFN vs SwiGLU, pre-norm residual block, weight tying. Parameter-count function tested against ~12*L*d^2 + embeddings.</t>
  </si>
  <si>
    <t xml:space="preserve">P2: components + tests</t>
  </si>
  <si>
    <t xml:space="preserve">RoPE / GQA explained</t>
  </si>
  <si>
    <t xml:space="preserve">Umar Jamil LLaMA explained - RoPE, RMSNorm, GQA, SwiGLU sections.</t>
  </si>
  <si>
    <t xml:space="preserve">https://www.youtube.com/watch?v=Mn_9W1nCFLo</t>
  </si>
  <si>
    <t xml:space="preserve">RoFormer</t>
  </si>
  <si>
    <t xml:space="preserve">Sections 3.1-3.4.</t>
  </si>
  <si>
    <t xml:space="preserve">https://arxiv.org/abs/2104.09864</t>
  </si>
  <si>
    <t xml:space="preserve">Implement RoPE</t>
  </si>
  <si>
    <t xml:space="preserve">Rotation form; test that &lt;RoPE(q,m), RoPE(k,n)&gt; depends only on m-n; compare interleaved (GPT-J) vs half-split (GPT-NeoX/Llama HF) layouts.</t>
  </si>
  <si>
    <t xml:space="preserve">P2: rope.py + test</t>
  </si>
  <si>
    <t xml:space="preserve">MQA + GQA</t>
  </si>
  <si>
    <t xml:space="preserve">MQA sec. 2-3, GQA sec. 2-3. Compute KV-cache bytes for a Llama-3-8B-like config under MHA/GQA/MQA.</t>
  </si>
  <si>
    <t xml:space="preserve">https://arxiv.org/abs/2305.13245</t>
  </si>
  <si>
    <t xml:space="preserve">KV math table</t>
  </si>
  <si>
    <t xml:space="preserve">GQA + assemble GPT</t>
  </si>
  <si>
    <t xml:space="preserve">GQA via repeat_interleave; flags for MHA/MQA. Assemble decoder-only GPT (dataclass config). Tests: causal leakage, shapes, param count.</t>
  </si>
  <si>
    <t xml:space="preserve">P2: model.py</t>
  </si>
  <si>
    <t xml:space="preserve">Project</t>
  </si>
  <si>
    <t xml:space="preserve">Encoder-decoder Transformer</t>
  </si>
  <si>
    <t xml:space="preserve">Bidirectional encoder + decoder with cross-attention; train on sequence reversal or 3-digit addition until &gt;99% exact match.</t>
  </si>
  <si>
    <t xml:space="preserve">P2: seq2seq.py</t>
  </si>
  <si>
    <t xml:space="preserve">Encoder vs decoder write-up</t>
  </si>
  <si>
    <t xml:space="preserve">BERT sec. 3 skim (15 min). Write 1 page: encoder-only vs decoder-only vs enc-dec, and why decoder-only dominates LLMs.</t>
  </si>
  <si>
    <t xml:space="preserve">https://arxiv.org/abs/1810.04805</t>
  </si>
  <si>
    <t xml:space="preserve">P2 README (DONE)</t>
  </si>
  <si>
    <t xml:space="preserve">Let's build the GPT Tokenizer</t>
  </si>
  <si>
    <t xml:space="preserve">Watch with minbpe open; pause to implement get_stats/merge yourself.</t>
  </si>
  <si>
    <t xml:space="preserve">https://www.youtube.com/watch?v=zduSFxRajkE</t>
  </si>
  <si>
    <t xml:space="preserve">BPE (Sennrich) + GPT-2 input representation</t>
  </si>
  <si>
    <t xml:space="preserve">BPE sec. 3.2 + Algorithm 1; GPT-2 sec. 2.2.</t>
  </si>
  <si>
    <t xml:space="preserve">https://arxiv.org/abs/1508.07909</t>
  </si>
  <si>
    <t xml:space="preserve">Paper notes #3</t>
  </si>
  <si>
    <t xml:space="preserve">CS336 L1 - Overview &amp; tokenization</t>
  </si>
  <si>
    <t xml:space="preserve">Video + A1 handout BPE section.</t>
  </si>
  <si>
    <t xml:space="preserve">https://www.youtube.com/watch?v=JuoVZkPBiKk</t>
  </si>
  <si>
    <t xml:space="preserve">BPE trainer v1</t>
  </si>
  <si>
    <t xml:space="preserve">Naive byte-level BPE trainer with GPT-2 pre-tokenization regex and special tokens.</t>
  </si>
  <si>
    <t xml:space="preserve">https://github.com/stanford-cs336/assignment1-basics</t>
  </si>
  <si>
    <t xml:space="preserve">P3: bpe_train.py</t>
  </si>
  <si>
    <t xml:space="preserve">BPE trainer v2 + tokenizer</t>
  </si>
  <si>
    <t xml:space="preserve">Incremental pair-count updates, parallel pre-tokenization on chunk boundaries; 10K vocab on TinyStories; encode/decode; run A1 tokenizer tests.</t>
  </si>
  <si>
    <t xml:space="preserve">P3: tokenizer passes A1 tests</t>
  </si>
  <si>
    <t xml:space="preserve">SentencePiece vs BPE</t>
  </si>
  <si>
    <t xml:space="preserve">Read SentencePiece sec. 2-3; train BPE vs unigram on same text; compare bytes/token and vocab-size trade-off (embedding params vs sequence length).</t>
  </si>
  <si>
    <t xml:space="preserve">https://arxiv.org/abs/1808.06226</t>
  </si>
  <si>
    <t xml:space="preserve">Comparison table</t>
  </si>
  <si>
    <t xml:space="preserve">LM objective math</t>
  </si>
  <si>
    <t xml:space="preserve">Concept note: next-token prediction, cross-entropy = NLL, teacher forcing, perplexity, bits-per-byte.</t>
  </si>
  <si>
    <t xml:space="preserve">https://github.com/anshu8830/anshu/blob/main/curriculum/concepts/02-prompt-to-next-token.md</t>
  </si>
  <si>
    <t xml:space="preserve">Training loop (A1 components)</t>
  </si>
  <si>
    <t xml:space="preserve">memmap token dataset, random batch sampler, own AdamW, warmup + cosine LR, grad clipping, checkpoint save/load; pass the A1 tests for each.</t>
  </si>
  <si>
    <t xml:space="preserve">P3: train.py</t>
  </si>
  <si>
    <t xml:space="preserve">Train on TinyStories</t>
  </si>
  <si>
    <t xml:space="preserve">~20-30M params on one rented GPU (or smaller on MPS). Log train/val loss, tokens/s, estimated MFU. Aim for the A1 handout's TinyStories target.</t>
  </si>
  <si>
    <t xml:space="preserve">Loss curves</t>
  </si>
  <si>
    <t xml:space="preserve">Generation + sampling</t>
  </si>
  <si>
    <t xml:space="preserve">Temperature, top-k, top-p sampling; generate 20 stories; read them critically.</t>
  </si>
  <si>
    <t xml:space="preserve">https://arxiv.org/abs/1904.09751</t>
  </si>
  <si>
    <t xml:space="preserve">generate.py</t>
  </si>
  <si>
    <t xml:space="preserve">Reproduction #1 - architecture ablations</t>
  </si>
  <si>
    <t xml:space="preserve">RoPE vs NoPE vs learned absolute; pre-norm vs post-norm at high LR (Pre-LN paper claim); 3-point LR sweep. Plot and explain.</t>
  </si>
  <si>
    <t xml:space="preserve">Ablation report</t>
  </si>
  <si>
    <t xml:space="preserve">Prompt -&gt; next token walkthrough</t>
  </si>
  <si>
    <t xml:space="preserve">Read the concept note, then step through Bycroft's 3D visualization for one token.</t>
  </si>
  <si>
    <t xml:space="preserve">KV cache</t>
  </si>
  <si>
    <t xml:space="preserve">Pre-allocated K/V tensors per layer, RoPE offsets, prefill vs decode code paths; measure ms/token with vs without cache as T grows.</t>
  </si>
  <si>
    <t xml:space="preserve">P3: kv_cache.py + plot</t>
  </si>
  <si>
    <t xml:space="preserve">Neural text degeneration</t>
  </si>
  <si>
    <t xml:space="preserve">Holtzman et al. sec. 3-5 (why greedy/beam degenerate; nucleus sampling).</t>
  </si>
  <si>
    <t xml:space="preserve">Paper notes #4</t>
  </si>
  <si>
    <t xml:space="preserve">Sampling suite</t>
  </si>
  <si>
    <t xml:space="preserve">Beam search, top-p, min-p, repetition penalty; experiment distinct-n vs perplexity across settings; sliding-window perplexity eval.</t>
  </si>
  <si>
    <t xml:space="preserve">P3: sampling study</t>
  </si>
  <si>
    <t xml:space="preserve">CS336 L10 - Inference</t>
  </si>
  <si>
    <t xml:space="preserve">Trace + video: prefill/decode, arithmetic intensity, KV cache, batching.</t>
  </si>
  <si>
    <t xml:space="preserve">https://cs336.stanford.edu/lectures/?trace=lecture_10</t>
  </si>
  <si>
    <t xml:space="preserve">Transformer inference arithmetic</t>
  </si>
  <si>
    <t xml:space="preserve">kipply's post; redo its numbers for a model you care about.</t>
  </si>
  <si>
    <t xml:space="preserve">https://kipply.github.io/blog/transformer-inference-arithmetic/</t>
  </si>
  <si>
    <t xml:space="preserve">Inference math exercises</t>
  </si>
  <si>
    <t xml:space="preserve">FLOPs/token ~ 2N; KV bytes/token = 2*L*n_kv*d_head*bytes; decode lower bound = bytes moved / bandwidth. Why long context is expensive (memory + positional extrapolation).</t>
  </si>
  <si>
    <t xml:space="preserve">inference_math.md</t>
  </si>
  <si>
    <t xml:space="preserve">Scaling laws</t>
  </si>
  <si>
    <t xml:space="preserve">CS336 L9 slides + video; Kaplan sec. 1-3 figures; Chinchilla sec. 3 (IsoFLOP approaches).</t>
  </si>
  <si>
    <t xml:space="preserve">https://arxiv.org/abs/2203.15556</t>
  </si>
  <si>
    <t xml:space="preserve">Paper notes #5</t>
  </si>
  <si>
    <t xml:space="preserve">Reproduction #2 - mini IsoFLOP</t>
  </si>
  <si>
    <t xml:space="preserve">3 compute budgets x 4 model sizes on TinyStories (short runs in the background). Fit N_opt vs C and compare the exponent with Chinchilla (~0.5). Use C ~ 6ND.</t>
  </si>
  <si>
    <t xml:space="preserve">isoflop.ipynb</t>
  </si>
  <si>
    <t xml:space="preserve">Mixture of Experts</t>
  </si>
  <si>
    <t xml:space="preserve">CS336 L4 slides/video + Grootendorst visual guide; Switch sec. 2.1-2.2; Mixtral sec. 2.</t>
  </si>
  <si>
    <t xml:space="preserve">https://newsletter.maartengrootendorst.com/p/a-visual-guide-to-mixture-of-experts</t>
  </si>
  <si>
    <t xml:space="preserve">MoE layer</t>
  </si>
  <si>
    <t xml:space="preserve">Token-choice top-k router, experts as SwiGLU FFNs, load-balancing auxiliary loss; swap into GPT.</t>
  </si>
  <si>
    <t xml:space="preserve">https://arxiv.org/abs/2101.03961</t>
  </si>
  <si>
    <t xml:space="preserve">moe.py</t>
  </si>
  <si>
    <t xml:space="preserve">Dense vs MoE</t>
  </si>
  <si>
    <t xml:space="preserve">8 experts top-2 vs dense at matched active params and tokens: loss, tokens/s, expert-utilization histogram.</t>
  </si>
  <si>
    <t xml:space="preserve">MoE report</t>
  </si>
  <si>
    <t xml:space="preserve">Phase 1-2 checkpoint</t>
  </si>
  <si>
    <t xml:space="preserve">Close-book: write 'prompt -&gt; next token' with your own diagram and numbers; answer the Phase 1 and 2 checkpoint questions.</t>
  </si>
  <si>
    <t xml:space="preserve">P3 (DONE)</t>
  </si>
  <si>
    <t xml:space="preserve">Embeddings + contrastive learning</t>
  </si>
  <si>
    <t xml:space="preserve">Concept note; SBERT sec. 3; DPR sec. 3 (in-batch negatives); InfoNCE (CPC sec. 2.3).</t>
  </si>
  <si>
    <t xml:space="preserve">https://github.com/anshu8830/anshu/blob/main/curriculum/concepts/03-retrieval-and-vector-search.md</t>
  </si>
  <si>
    <t xml:space="preserve">Paper notes #6</t>
  </si>
  <si>
    <t xml:space="preserve">InfoNCE + bi-encoder fine-tune</t>
  </si>
  <si>
    <t xml:space="preserve">Implement InfoNCE with temperature; fine-tune all-MiniLM-L6-v2 on QA pairs for 1 epoch; MRR before/after.</t>
  </si>
  <si>
    <t xml:space="preserve">https://sbert.net/</t>
  </si>
  <si>
    <t xml:space="preserve">P4: contrastive.py</t>
  </si>
  <si>
    <t xml:space="preserve">TF-IDF + BM25</t>
  </si>
  <si>
    <t xml:space="preserve">IR book ch. 6 and sec. 11.4.3.</t>
  </si>
  <si>
    <t xml:space="preserve">https://nlp.stanford.edu/IR-book/html/htmledition/irbook.html</t>
  </si>
  <si>
    <t xml:space="preserve">BM25 from scratch</t>
  </si>
  <si>
    <t xml:space="preserve">Inverted index, k1/b, IDF variants; compare scores/speed with bm25s on BEIR SciFact.</t>
  </si>
  <si>
    <t xml:space="preserve">https://github.com/xhluca/bm25s</t>
  </si>
  <si>
    <t xml:space="preserve">P4: bm25.py</t>
  </si>
  <si>
    <t xml:space="preserve">IR metrics</t>
  </si>
  <si>
    <t xml:space="preserve">Recall@K, Precision@K, MRR, nDCG@K from scratch with unit tests; BEIR paper sec. 3-5.</t>
  </si>
  <si>
    <t xml:space="preserve">https://arxiv.org/abs/2104.08663</t>
  </si>
  <si>
    <t xml:space="preserve">Reproduction #3 - BEIR baseline</t>
  </si>
  <si>
    <t xml:space="preserve">BM25 vs dense (e5/bge-small) vs hybrid RRF on SciFact + NFCorpus; your BM25 nDCG@10 on SciFact should land within ~0.02 of the BEIR table.</t>
  </si>
  <si>
    <t xml:space="preserve">Results table</t>
  </si>
  <si>
    <t xml:space="preserve">IVF + PQ</t>
  </si>
  <si>
    <t xml:space="preserve">Pinecone chapters on vector indexes and PQ; PQ paper sec. II-III.</t>
  </si>
  <si>
    <t xml:space="preserve">https://www.pinecone.io/learn/series/faiss/product-quantization/</t>
  </si>
  <si>
    <t xml:space="preserve">IVF-PQ in NumPy</t>
  </si>
  <si>
    <t xml:space="preserve">k-means coarse quantizer + nprobe; PQ with m sub-spaces x 256 centroids; ADC tables; recall@10 vs nprobe and bytes/vector.</t>
  </si>
  <si>
    <t xml:space="preserve">https://doi.org/10.1109/TPAMI.2010.57</t>
  </si>
  <si>
    <t xml:space="preserve">P4: ivfpq.py</t>
  </si>
  <si>
    <t xml:space="preserve">HNSW</t>
  </si>
  <si>
    <t xml:space="preserve">James Briggs video, then HNSW paper sec. 3-4 (Algorithms 1-4).</t>
  </si>
  <si>
    <t xml:space="preserve">https://www.youtube.com/watch?v=QvKMwLjdK-s</t>
  </si>
  <si>
    <t xml:space="preserve">NSW/HNSW</t>
  </si>
  <si>
    <t xml:space="preserve">Single-layer NSW with beam search (efSearch), then hierarchy (optional); compare with FAISS IndexHNSWFlat over M/efSearch.</t>
  </si>
  <si>
    <t xml:space="preserve">https://arxiv.org/abs/1603.09320</t>
  </si>
  <si>
    <t xml:space="preserve">P4: hnsw.py + curves</t>
  </si>
  <si>
    <t xml:space="preserve">Assemble retrieval engine</t>
  </si>
  <si>
    <t xml:space="preserve">One interface over BM25, Flat, IVF-PQ, HNSW (yours + FAISS), hybrid RRF, cross-encoder reranker, metadata filters, and one DB backend (pgvector HNSW or Qdrant).</t>
  </si>
  <si>
    <t xml:space="preserve">https://www.pinecone.io/learn/series/faiss/</t>
  </si>
  <si>
    <t xml:space="preserve">P4 package</t>
  </si>
  <si>
    <t xml:space="preserve">Benchmark report</t>
  </si>
  <si>
    <t xml:space="preserve">Recall/nDCG/latency/memory table across indexes; notes on pre- vs post-filtering in vector DBs.</t>
  </si>
  <si>
    <t xml:space="preserve">P4 (DONE)</t>
  </si>
  <si>
    <t xml:space="preserve">RAG foundations</t>
  </si>
  <si>
    <t xml:space="preserve">RAG paper sec. 2 (RAG-Sequence vs RAG-Token) + Kiela CS25 lecture.</t>
  </si>
  <si>
    <t xml:space="preserve">https://www.youtube.com/watch?v=mE7IDf2SmJg</t>
  </si>
  <si>
    <t xml:space="preserve">Paper notes #7</t>
  </si>
  <si>
    <t xml:space="preserve">Baseline pipeline + golden set v0</t>
  </si>
  <si>
    <t xml:space="preserve">Docling parse -&gt; fixed chunks -&gt; embed -&gt; retrieve (P4) -&gt; numbered sources -&gt; answer with citations. Write 30 real Q/A pairs now.</t>
  </si>
  <si>
    <t xml:space="preserve">https://docling-project.github.io/docling/</t>
  </si>
  <si>
    <t xml:space="preserve">P5 baseline</t>
  </si>
  <si>
    <t xml:space="preserve">Advanced retrieval practice</t>
  </si>
  <si>
    <t xml:space="preserve">Clavie talk + Anthropic Contextual Retrieval.</t>
  </si>
  <si>
    <t xml:space="preserve">https://www.youtube.com/watch?v=0nA5QG3087g</t>
  </si>
  <si>
    <t xml:space="preserve">Chunking study</t>
  </si>
  <si>
    <t xml:space="preserve">Fixed vs recursive vs structure-aware vs semantic; parent-child; contextual headers; metadata filters. Measure recall@5 on golden set.</t>
  </si>
  <si>
    <t xml:space="preserve">https://www.anthropic.com/news/contextual-retrieval</t>
  </si>
  <si>
    <t xml:space="preserve">Chunking table</t>
  </si>
  <si>
    <t xml:space="preserve">HyDE + query-side methods</t>
  </si>
  <si>
    <t xml:space="preserve">HyDE sec. 3; multi-query, decomposition, conversational rewriting.</t>
  </si>
  <si>
    <t xml:space="preserve">https://arxiv.org/abs/2212.10496</t>
  </si>
  <si>
    <t xml:space="preserve">Full retrieval chain</t>
  </si>
  <si>
    <t xml:space="preserve">Rewrite -&gt; multi-query -&gt; hybrid -&gt; RRF -&gt; cross-encoder rerank -&gt; extractive compression -&gt; generate; ablate each stage.</t>
  </si>
  <si>
    <t xml:space="preserve">P5 chain</t>
  </si>
  <si>
    <t xml:space="preserve">Lost in the Middle</t>
  </si>
  <si>
    <t xml:space="preserve">Sec. 2-4; implement context ordering (best chunks at edges) and token budgets.</t>
  </si>
  <si>
    <t xml:space="preserve">https://arxiv.org/abs/2307.03172</t>
  </si>
  <si>
    <t xml:space="preserve">Late interaction</t>
  </si>
  <si>
    <t xml:space="preserve">ColBERT sec. 3 (MaxSim); BGE-M3 dense+sparse+multi-vector.</t>
  </si>
  <si>
    <t xml:space="preserve">https://arxiv.org/abs/2004.12832</t>
  </si>
  <si>
    <t xml:space="preserve">Multi-vector path</t>
  </si>
  <si>
    <t xml:space="preserve">BGE-M3 multi-vector or ColBERT-style MaxSim reranker vs cross-encoder: quality vs latency.</t>
  </si>
  <si>
    <t xml:space="preserve">https://arxiv.org/abs/2402.03216</t>
  </si>
  <si>
    <t xml:space="preserve">Agentic &amp; graph RAG</t>
  </si>
  <si>
    <t xml:space="preserve">Self-RAG overview; GraphRAG sec. 2-3; retrieval planning (whether / what / how many hops).</t>
  </si>
  <si>
    <t xml:space="preserve">https://arxiv.org/abs/2404.16130</t>
  </si>
  <si>
    <t xml:space="preserve">Agentic RAG router</t>
  </si>
  <si>
    <t xml:space="preserve">Answer-directly / retrieve / decompose router, sufficiency check, max hops; optional entity graph for global questions.</t>
  </si>
  <si>
    <t xml:space="preserve">https://arxiv.org/abs/2310.11511</t>
  </si>
  <si>
    <t xml:space="preserve">router.py</t>
  </si>
  <si>
    <t xml:space="preserve">P5 polish</t>
  </si>
  <si>
    <t xml:space="preserve">Config-driven pipeline, span-level citations, abstain when unsupported, caching, streaming FastAPI endpoint.</t>
  </si>
  <si>
    <t xml:space="preserve">https://arxiv.org/abs/2005.11401</t>
  </si>
  <si>
    <t xml:space="preserve">P5 service</t>
  </si>
  <si>
    <t xml:space="preserve">Map P5 onto LangChain + LlamaIndex</t>
  </si>
  <si>
    <t xml:space="preserve">Read-only: how LangChain (document loaders, text splitters, retrievers, vector-store integrations) and LlamaIndex (nodes, indices, query engines, rerankers) name the stages you just built. You should recognise every abstraction as something you already wrote.</t>
  </si>
  <si>
    <t xml:space="preserve">https://developers.llamaindex.ai/python/framework/</t>
  </si>
  <si>
    <t xml:space="preserve">mapping table</t>
  </si>
  <si>
    <t xml:space="preserve">Ablation table v0</t>
  </si>
  <si>
    <t xml:space="preserve">Retrieval recall@5 + manual answer check per configuration (full metrics next week).</t>
  </si>
  <si>
    <t xml:space="preserve">https://github.com/anshu8830/anshu/blob/main/curriculum/concepts/04-rag-and-evaluation-metrics.md</t>
  </si>
  <si>
    <t xml:space="preserve">P5 (DONE)</t>
  </si>
  <si>
    <t xml:space="preserve">Evals mindset</t>
  </si>
  <si>
    <t xml:space="preserve">Husain 'Your AI Product Needs Evals' + first half of the judge guide.</t>
  </si>
  <si>
    <t xml:space="preserve">https://hamel.dev/blog/posts/evals/</t>
  </si>
  <si>
    <t xml:space="preserve">Error analysis + golden set v1</t>
  </si>
  <si>
    <t xml:space="preserve">Read 50 P5 traces, open-code failures into a taxonomy; grow the golden set to 100+ (human-written, synthetic-then-verified, unanswerable/adversarial).</t>
  </si>
  <si>
    <t xml:space="preserve">taxonomy.md + dataset</t>
  </si>
  <si>
    <t xml:space="preserve">LLM-as-judge research</t>
  </si>
  <si>
    <t xml:space="preserve">MT-Bench sec. 3-4 (biases), G-Eval sec. 2, Yan's survey, Shankar 'Who Validates the Validators'.</t>
  </si>
  <si>
    <t xml:space="preserve">https://arxiv.org/abs/2306.05685</t>
  </si>
  <si>
    <t xml:space="preserve">Paper notes #8</t>
  </si>
  <si>
    <t xml:space="preserve">Judges + calibration</t>
  </si>
  <si>
    <t xml:space="preserve">Binary rubric judge, pairwise with position swap, reference-based correctness. Label 60 examples yourself; iterate until judge-human kappa &gt;= 0.6.</t>
  </si>
  <si>
    <t xml:space="preserve">https://hamel.dev/blog/posts/llm-judge/</t>
  </si>
  <si>
    <t xml:space="preserve">judges.py + calibration</t>
  </si>
  <si>
    <t xml:space="preserve">RAG metric definitions</t>
  </si>
  <si>
    <t xml:space="preserve">RAGAS sec. 3 + concept note.</t>
  </si>
  <si>
    <t xml:space="preserve">https://arxiv.org/abs/2309.15217</t>
  </si>
  <si>
    <t xml:space="preserve">RAG metrics from scratch</t>
  </si>
  <si>
    <t xml:space="preserve">Context precision/recall (gold passages), faithfulness (claim extraction -&gt; per-claim support check), answer relevance, citation accuracy; compare with the ragas library.</t>
  </si>
  <si>
    <t xml:space="preserve">https://docs.ragas.io/en/stable/concepts/metrics/available_metrics/</t>
  </si>
  <si>
    <t xml:space="preserve">rag_metrics.py</t>
  </si>
  <si>
    <t xml:space="preserve">Benchmarks &amp; contamination</t>
  </si>
  <si>
    <t xml:space="preserve">CS336 L12 trace/video; skim the HF Evaluation Guidebook.</t>
  </si>
  <si>
    <t xml:space="preserve">https://cs336.stanford.edu/lectures/?trace=lecture_12</t>
  </si>
  <si>
    <t xml:space="preserve">Statistics for evals</t>
  </si>
  <si>
    <t xml:space="preserve">Bootstrap CIs, paired tests (paired bootstrap / McNemar), sample sizes; online A/B tests (unit of randomization, guardrails); human-eval protocols and inter-annotator agreement.</t>
  </si>
  <si>
    <t xml:space="preserve">stats.py</t>
  </si>
  <si>
    <t xml:space="preserve">Standard benchmark harnesses</t>
  </si>
  <si>
    <t xml:space="preserve">Run lm-evaluation-harness on a small open model (ARC-easy, HellaSwag, GSM8K subset); write one custom Inspect task.</t>
  </si>
  <si>
    <t xml:space="preserve">https://inspect.aisi.org.uk/</t>
  </si>
  <si>
    <t xml:space="preserve">Agent &amp; tool-call evals</t>
  </si>
  <si>
    <t xml:space="preserve">Anthropic agent-evals post; tau-bench sec. 3-4 (pass^k, DB-state checks); tool-selection accuracy, argument AST match, trajectory efficiency.</t>
  </si>
  <si>
    <t xml:space="preserve">https://www.anthropic.com/engineering/demystifying-evals-for-ai-agents</t>
  </si>
  <si>
    <t xml:space="preserve">Agent eval schema</t>
  </si>
  <si>
    <t xml:space="preserve">Task format, outcome graders (tests pass / state), trajectory graders, cost/latency; write 20 tasks for P8 and the capstone.</t>
  </si>
  <si>
    <t xml:space="preserve">https://arxiv.org/abs/2406.12045</t>
  </si>
  <si>
    <t xml:space="preserve">agent_tasks.jsonl</t>
  </si>
  <si>
    <t xml:space="preserve">Build ragevals</t>
  </si>
  <si>
    <t xml:space="preserve">Runners, metrics, calibration report, bootstrap CIs, pytest + GitHub Actions gate that fails on a significant regression, markdown/HTML report.</t>
  </si>
  <si>
    <t xml:space="preserve">P6 package</t>
  </si>
  <si>
    <t xml:space="preserve">Re-score P5 ablations</t>
  </si>
  <si>
    <t xml:space="preserve">Publish the ablation table with CIs and pick the production config.</t>
  </si>
  <si>
    <t xml:space="preserve">P6 (DONE)</t>
  </si>
  <si>
    <t xml:space="preserve">Post-training landscape</t>
  </si>
  <si>
    <t xml:space="preserve">CS336 L15 slides + video; InstructGPT sec. 3.1-3.5; pretraining vs continued pretraining vs instruction tuning.</t>
  </si>
  <si>
    <t xml:space="preserve">https://github.com/stanford-cs336/lectures/blob/main/lecture_15.pdf</t>
  </si>
  <si>
    <t xml:space="preserve">Paper notes #9</t>
  </si>
  <si>
    <t xml:space="preserve">Chat templates</t>
  </si>
  <si>
    <t xml:space="preserve">HF LLM course ch. 11 + chat templating docs; inspect the Jinja template of Qwen3 or Llama-3 and its special tokens.</t>
  </si>
  <si>
    <t xml:space="preserve">https://huggingface.co/docs/transformers/chat_templating</t>
  </si>
  <si>
    <t xml:space="preserve">SFT from scratch</t>
  </si>
  <si>
    <t xml:space="preserve">SmolLM2-360M or Qwen3-0.6B-Base: chat template, assistant-only masking with -100, packing caveats, eval loss; then replicate with TRL SFTTrainer and compare loss curves.</t>
  </si>
  <si>
    <t xml:space="preserve">https://huggingface.co/docs/trl/sft_trainer</t>
  </si>
  <si>
    <t xml:space="preserve">P7: sft.py</t>
  </si>
  <si>
    <t xml:space="preserve">LoRA</t>
  </si>
  <si>
    <t xml:space="preserve">LoRA sec. 4 + 'LoRA Without Regret'.</t>
  </si>
  <si>
    <t xml:space="preserve">https://arxiv.org/abs/2106.09685</t>
  </si>
  <si>
    <t xml:space="preserve">LoRA from scratch</t>
  </si>
  <si>
    <t xml:space="preserve">LoRALinear (freeze base, A random, B=0, alpha/r, dropout, merge/unmerge); inject into q,k,v,o + MLP; verify trainable params; compare with PEFT.</t>
  </si>
  <si>
    <t xml:space="preserve">https://thinkingmachines.ai/blog/lora/</t>
  </si>
  <si>
    <t xml:space="preserve">P7: lora.py</t>
  </si>
  <si>
    <t xml:space="preserve">QLoRA + quantization basics</t>
  </si>
  <si>
    <t xml:space="preserve">QLoRA sec. 3; first half of the quantization visual guide (absmax, zero-point, block-wise).</t>
  </si>
  <si>
    <t xml:space="preserve">https://arxiv.org/abs/2305.14314</t>
  </si>
  <si>
    <t xml:space="preserve">QLoRA an 8B model</t>
  </si>
  <si>
    <t xml:space="preserve">Qwen3-8B or Llama-3.1-8B on one 24 GB GPU via Unsloth (or TRL+PEFT+bitsandbytes). Track VRAM and tokens/s; save adapter; merge for serving.</t>
  </si>
  <si>
    <t xml:space="preserve">https://unsloth.ai/docs/get-started/fine-tuning-llms-guide</t>
  </si>
  <si>
    <t xml:space="preserve">Adapter</t>
  </si>
  <si>
    <t xml:space="preserve">Dataset preparation</t>
  </si>
  <si>
    <t xml:space="preserve">Task spec, sourcing, synthetic generation with verification, dedup, decontamination vs eval set, chat formatting, splits (smol-course modules).</t>
  </si>
  <si>
    <t xml:space="preserve">https://github.com/huggingface/smol-course</t>
  </si>
  <si>
    <t xml:space="preserve">Build the P7 dataset</t>
  </si>
  <si>
    <t xml:space="preserve">2-5K examples for your capstone task (e.g. JSON tool calls for your own MCP tools) + held-out eval set.</t>
  </si>
  <si>
    <t xml:space="preserve">dataset v1</t>
  </si>
  <si>
    <t xml:space="preserve">P7 runs + Reproduction #4</t>
  </si>
  <si>
    <t xml:space="preserve">Baseline vs LoRA r in {8, 64} vs QLoRA; LR sweep to test the ~10x-higher optimal LoRA LR finding; eval with P6 harness + tool-call exact match; forgetting check.</t>
  </si>
  <si>
    <t xml:space="preserve">Runs</t>
  </si>
  <si>
    <t xml:space="preserve">Report + publish adapter</t>
  </si>
  <si>
    <t xml:space="preserve">Write the report; push the adapter to the HF Hub (private).</t>
  </si>
  <si>
    <t xml:space="preserve">P7 part 1 (DONE)</t>
  </si>
  <si>
    <t xml:space="preserve">RL essentials</t>
  </si>
  <si>
    <t xml:space="preserve">Spinning Up Part 1 (key concepts) and Part 3 (policy optimization); Abbeel L3.</t>
  </si>
  <si>
    <t xml:space="preserve">https://spinningup.openai.com/en/latest/spinningup/rl_intro3.html</t>
  </si>
  <si>
    <t xml:space="preserve">REINFORCE on a toy LM</t>
  </si>
  <si>
    <t xml:space="preserve">Train your W3 GPT (or a tiny model) to maximize a verifiable reward; compare variance with/without baseline.</t>
  </si>
  <si>
    <t xml:space="preserve">https://www.youtube.com/watch?v=AKbX1Zvo7r8</t>
  </si>
  <si>
    <t xml:space="preserve">reinforce.py</t>
  </si>
  <si>
    <t xml:space="preserve">PPO + RLHF</t>
  </si>
  <si>
    <t xml:space="preserve">PPO sec. 3-5; Christiano 2017 method; InstructGPT RM/PPO sections; RLHF book reward-model + policy-gradient chapters.</t>
  </si>
  <si>
    <t xml:space="preserve">https://arxiv.org/abs/1707.06347</t>
  </si>
  <si>
    <t xml:space="preserve">Paper notes #10</t>
  </si>
  <si>
    <t xml:space="preserve">RLHF with code</t>
  </si>
  <si>
    <t xml:space="preserve">Umar Jamil RLHF video - PPO + RLHF sections.</t>
  </si>
  <si>
    <t xml:space="preserve">https://www.youtube.com/watch?v=qGyFrqc34yc</t>
  </si>
  <si>
    <t xml:space="preserve">Reward model</t>
  </si>
  <si>
    <t xml:space="preserve">Bradley-Terry loss + scalar head on your SFT model; train on ~2K preference pairs; report pairwise accuracy.</t>
  </si>
  <si>
    <t xml:space="preserve">https://rlhfbook.com/</t>
  </si>
  <si>
    <t xml:space="preserve">rm.py</t>
  </si>
  <si>
    <t xml:space="preserve">DPO derivation</t>
  </si>
  <si>
    <t xml:space="preserve">DPO sec. 4-5 + Appendix A.1, with Umar Jamil's DPO video.</t>
  </si>
  <si>
    <t xml:space="preserve">https://www.youtube.com/watch?v=hvGa5Mba4c8</t>
  </si>
  <si>
    <t xml:space="preserve">DPO from scratch</t>
  </si>
  <si>
    <t xml:space="preserve">Policy/reference log-probs of chosen vs rejected, beta; train on your P7 SFT model with a preference subset; compare with TRL DPOTrainer; skim ORPO/KTO/SimPO differences.</t>
  </si>
  <si>
    <t xml:space="preserve">https://arxiv.org/abs/2305.18290</t>
  </si>
  <si>
    <t xml:space="preserve">P7: dpo.py</t>
  </si>
  <si>
    <t xml:space="preserve">Reasoning models + RLVR</t>
  </si>
  <si>
    <t xml:space="preserve">DeepSeekMath sec. 4 (GRPO), DeepSeek-R1 sec. 2-3, Tulu 3 RLVR section, CS336 L16; skim 'Why We Think'.</t>
  </si>
  <si>
    <t xml:space="preserve">https://arxiv.org/abs/2402.03300</t>
  </si>
  <si>
    <t xml:space="preserve">Paper notes #11</t>
  </si>
  <si>
    <t xml:space="preserve">Reward hacking + verifiers</t>
  </si>
  <si>
    <t xml:space="preserve">Weng's reward-hacking post; design format + answer verifiers and tests that try to hack them.</t>
  </si>
  <si>
    <t xml:space="preserve">https://lilianweng.github.io/posts/2024-11-28-reward-hacking/</t>
  </si>
  <si>
    <t xml:space="preserve">verifiers.py</t>
  </si>
  <si>
    <t xml:space="preserve">Dr. GRPO + DAPO</t>
  </si>
  <si>
    <t xml:space="preserve">Dr. GRPO sec. 2-3 (length bias), DAPO sec. 3 (clip-higher, dynamic sampling, token-level loss, overlong shaping); HF course ch. 12.</t>
  </si>
  <si>
    <t xml:space="preserve">https://arxiv.org/abs/2503.20783</t>
  </si>
  <si>
    <t xml:space="preserve">GRPO from scratch</t>
  </si>
  <si>
    <t xml:space="preserve">Group sampling, normalized advantages, clipped ratio, KL to reference, token-level averaging; unit-test on synthetic logits; rollouts via HF generate or vLLM.</t>
  </si>
  <si>
    <t xml:space="preserve">https://huggingface.co/learn/llm-course/en/chapter12/4</t>
  </si>
  <si>
    <t xml:space="preserve">P7: grpo.py</t>
  </si>
  <si>
    <t xml:space="preserve">GRPO run + Reproduction #5</t>
  </si>
  <si>
    <t xml:space="preserve">Qwen3-0.6B (or Qwen2.5-0.5B/1.5B-Instruct) on GSM8K-style math, 1 rented GPU for 3-4 h (your loop or TRL GRPOTrainer). Track reward, length, held-out accuracy; compare length growth with/without Dr. GRPO normalization.</t>
  </si>
  <si>
    <t xml:space="preserve">GRPO curves</t>
  </si>
  <si>
    <t xml:space="preserve">Connect to reasoning models</t>
  </si>
  <si>
    <t xml:space="preserve">Write-up: RLVR, test-time compute, s1 budget forcing (s1 sec. 2-3), and the reward hacks you observed.</t>
  </si>
  <si>
    <t xml:space="preserve">https://arxiv.org/abs/2501.19393</t>
  </si>
  <si>
    <t xml:space="preserve">P7 (DONE)</t>
  </si>
  <si>
    <t xml:space="preserve">Agent design principles</t>
  </si>
  <si>
    <t xml:space="preserve">Anthropic 'Building effective agents' + Barry Zhang talk; ReAct sec. 2-3.</t>
  </si>
  <si>
    <t xml:space="preserve">https://www.anthropic.com/engineering/building-effective-agents</t>
  </si>
  <si>
    <t xml:space="preserve">Paper notes #12</t>
  </si>
  <si>
    <t xml:space="preserve">Raw agent loop</t>
  </si>
  <si>
    <t xml:space="preserve">No framework. JSON-schema tools (search via P5, sandboxed python exec, file read), parse tool calls, execute, append results, max-steps, retries, token/cost accounting, trajectory logs.</t>
  </si>
  <si>
    <t xml:space="preserve">https://arxiv.org/abs/2210.03629</t>
  </si>
  <si>
    <t xml:space="preserve">P8: loop.py</t>
  </si>
  <si>
    <t xml:space="preserve">Planning, reflection, memory</t>
  </si>
  <si>
    <t xml:space="preserve">Weng agents post; Reflexion sec. 3; MemGPT sec. 2-3; Anthropic context-engineering post.</t>
  </si>
  <si>
    <t xml:space="preserve">https://www.anthropic.com/engineering/effective-context-engineering-for-ai-agents</t>
  </si>
  <si>
    <t xml:space="preserve">Plan/reflect/remember</t>
  </si>
  <si>
    <t xml:space="preserve">Plan-and-execute mode, verifier-driven self-critique, context compaction, episodic + semantic long-term memory in a vector store, typed state persisted to Postgres/SQLite.</t>
  </si>
  <si>
    <t xml:space="preserve">https://arxiv.org/abs/2310.08560</t>
  </si>
  <si>
    <t xml:space="preserve">P8: memory.py</t>
  </si>
  <si>
    <t xml:space="preserve">Tools, security, multi-agent</t>
  </si>
  <si>
    <t xml:space="preserve">Anthropic tool-writing post; OWASP LLM Top 10; lethal trifecta; Anthropic multi-agent research system.</t>
  </si>
  <si>
    <t xml:space="preserve">https://www.anthropic.com/engineering/writing-tools-for-agents</t>
  </si>
  <si>
    <t xml:space="preserve">HITL + security + multi-agent</t>
  </si>
  <si>
    <t xml:space="preserve">Approval gates for side-effecting tools, allow-lists, sandbox, injection tests (poisoned document in the RAG corpus); orchestrator + 2 sub-agents.</t>
  </si>
  <si>
    <t xml:space="preserve">https://simonwillison.net/2025/Jun/16/the-lethal-trifecta/</t>
  </si>
  <si>
    <t xml:space="preserve">security tests</t>
  </si>
  <si>
    <t xml:space="preserve">MCP spec</t>
  </si>
  <si>
    <t xml:space="preserve">2026-07-28 spec (architecture, tools/resources/prompts, transports, authorization) + release notes; HF MCP course unit 1. Note: many tutorials still show the older stateful 2025 revisions.</t>
  </si>
  <si>
    <t xml:space="preserve">https://modelcontextprotocol.io/specification/2026-07-28</t>
  </si>
  <si>
    <t xml:space="preserve">Project 9 - MCP server</t>
  </si>
  <si>
    <t xml:space="preserve">Python SDK server over your retrieval engine: tools (search, fetch_doc), resources (doc://{id}), prompts (cite-answer); stdio + Streamable HTTP; test with MCP Inspector; call it from your agent.</t>
  </si>
  <si>
    <t xml:space="preserve">https://huggingface.co/learn/mcp-course/en/unit0/introduction</t>
  </si>
  <si>
    <t xml:space="preserve">P9 server</t>
  </si>
  <si>
    <t xml:space="preserve">LangChain 1.0 agents</t>
  </si>
  <si>
    <t xml:space="preserve">Chat models + messages, @tool, structured output, create_agent, middleware (human-in-the-loop, summarization). Rebuild your raw loop with create_agent and map every piece; note that create_agent returns a compiled LangGraph graph.</t>
  </si>
  <si>
    <t xml:space="preserve">https://docs.langchain.com/oss/python/langchain/middleware/overview</t>
  </si>
  <si>
    <t xml:space="preserve">langchain_agent.py</t>
  </si>
  <si>
    <t xml:space="preserve">LangGraph core</t>
  </si>
  <si>
    <t xml:space="preserve">StateGraph, typed state + reducers, conditional edges, checkpointer (persistence, time travel), interrupt() for approval, streaming. LangChain Academy 'Intro to LangGraph' modules 1-3 (selected lessons) as you code.</t>
  </si>
  <si>
    <t xml:space="preserve">https://academy.langchain.com/courses/intro-to-langgraph</t>
  </si>
  <si>
    <t xml:space="preserve">langgraph_agent.py</t>
  </si>
  <si>
    <t xml:space="preserve">Other frameworks</t>
  </si>
  <si>
    <t xml:space="preserve">Tiny example each: smolagents CodeAgent, OpenAI Agents SDK (handoffs, guardrails, sessions), LlamaIndex Workflows. Write a 1-page comparison including LangChain/LangGraph.</t>
  </si>
  <si>
    <t xml:space="preserve">https://openai.github.io/openai-agents-python/</t>
  </si>
  <si>
    <t xml:space="preserve">frameworks.md</t>
  </si>
  <si>
    <t xml:space="preserve">Project 8 - research agent on LangGraph</t>
  </si>
  <si>
    <t xml:space="preserve">Production version built on LangGraph (your raw loop stays as the reference): question -&gt; plan -&gt; search (arXiv API + your RAG via MCP) -&gt; read -&gt; synthesize with citations -&gt; self-critique -&gt; revise; interrupt() before final; traces in LangSmith or your own tracer. Compare traces with the raw loop.</t>
  </si>
  <si>
    <t xml:space="preserve">https://docs.langchain.com/oss/python/langgraph/overview</t>
  </si>
  <si>
    <t xml:space="preserve">P8 agent</t>
  </si>
  <si>
    <t xml:space="preserve">Evaluate agent + harden MCP</t>
  </si>
  <si>
    <t xml:space="preserve">Run the 20 W7 tasks: citation faithfulness, success, steps, cost. Add auth to the HTTP transport per the spec.</t>
  </si>
  <si>
    <t xml:space="preserve">P8 + P9 (DONE)</t>
  </si>
  <si>
    <t xml:space="preserve">GPU architecture</t>
  </si>
  <si>
    <t xml:space="preserve">GPU Glossary (SM, warp, tensor core, HBM, L2, shared memory, occupancy); CS336 L5 slides + video.</t>
  </si>
  <si>
    <t xml:space="preserve">https://modal.com/gpu-glossary</t>
  </si>
  <si>
    <t xml:space="preserve">Compute vs memory vs overhead</t>
  </si>
  <si>
    <t xml:space="preserve">Horace He 'brrr'.</t>
  </si>
  <si>
    <t xml:space="preserve">https://horace.io/brrr_intro.html</t>
  </si>
  <si>
    <t xml:space="preserve">Roofline exercises</t>
  </si>
  <si>
    <t xml:space="preserve">Scaling-book roofline chapter; intensity of (B,d)x(d,d) in bf16; H100 ridge point; decode-bound analysis.</t>
  </si>
  <si>
    <t xml:space="preserve">https://jax-ml.github.io/scaling-book/roofline/</t>
  </si>
  <si>
    <t xml:space="preserve">roofline.py</t>
  </si>
  <si>
    <t xml:space="preserve">Kernels &amp; Triton</t>
  </si>
  <si>
    <t xml:space="preserve">CS336 L6 trace + video; CUDA model (grid/block/thread, coalescing) from the glossary.</t>
  </si>
  <si>
    <t xml:space="preserve">https://cs336.stanford.edu/lectures/?trace=lecture_06</t>
  </si>
  <si>
    <t xml:space="preserve">Profile + first kernels</t>
  </si>
  <si>
    <t xml:space="preserve">torch.profiler on your GPT (top kernels, memory-bound ops), torch.compile speedup; write Triton vector-add and fused softmax and benchmark vs PyTorch.</t>
  </si>
  <si>
    <t xml:space="preserve">https://triton-lang.org/main/getting-started/tutorials/02-fused-softmax.html</t>
  </si>
  <si>
    <t xml:space="preserve">kernels/</t>
  </si>
  <si>
    <t xml:space="preserve">FlashAttention</t>
  </si>
  <si>
    <t xml:space="preserve">Sec. 2-3 (tiling, online softmax, recomputation, IO complexity) + Tri Dao talk; FA2 abstract.</t>
  </si>
  <si>
    <t xml:space="preserve">https://arxiv.org/abs/2205.14135</t>
  </si>
  <si>
    <t xml:space="preserve">Paper notes #13</t>
  </si>
  <si>
    <t xml:space="preserve">Online-softmax tiled attention</t>
  </si>
  <si>
    <t xml:space="preserve">Block loops in PyTorch; verify equality with naive attention; count HBM reads/writes analytically.</t>
  </si>
  <si>
    <t xml:space="preserve">https://www.youtube.com/watch?v=gMOAud7hZg4</t>
  </si>
  <si>
    <t xml:space="preserve">flash_ref.py</t>
  </si>
  <si>
    <t xml:space="preserve">Serving systems</t>
  </si>
  <si>
    <t xml:space="preserve">vLLM paper sec. 3-4; Gordic 'Inside vLLM'; Sarathi-Serve abstract + sec. 3; TTFT, TPOT/ITL, throughput, goodput.</t>
  </si>
  <si>
    <t xml:space="preserve">https://www.aleksagordic.com/blog/vllm</t>
  </si>
  <si>
    <t xml:space="preserve">Quantization for inference</t>
  </si>
  <si>
    <t xml:space="preserve">FP32/FP16/BF16/FP8/INT8/INT4 layouts; LLM.int8 outliers; GPTQ and AWQ core ideas; KV-cache quantization; second half of the visual guide.</t>
  </si>
  <si>
    <t xml:space="preserve">https://newsletter.maartengrootendorst.com/p/a-visual-guide-to-quantization</t>
  </si>
  <si>
    <t xml:space="preserve">quant notes</t>
  </si>
  <si>
    <t xml:space="preserve">Speculative decoding</t>
  </si>
  <si>
    <t xml:space="preserve">Leviathan et al. sec. 2-3 + Efficient NLP video.</t>
  </si>
  <si>
    <t xml:space="preserve">https://arxiv.org/abs/2211.17192</t>
  </si>
  <si>
    <t xml:space="preserve">Speculative sampling</t>
  </si>
  <si>
    <t xml:space="preserve">Draft = tiny GPT, target = larger GPT; acceptance rate and speedup vs k.</t>
  </si>
  <si>
    <t xml:space="preserve">https://www.youtube.com/watch?v=S-8yr_RibJ4</t>
  </si>
  <si>
    <t xml:space="preserve">specdec.py</t>
  </si>
  <si>
    <t xml:space="preserve">TensorRT-LLM overview</t>
  </si>
  <si>
    <t xml:space="preserve">Engine building, in-flight batching, FP8/FP4; compare with vLLM (read-only).</t>
  </si>
  <si>
    <t xml:space="preserve">https://nvidia.github.io/TensorRT-LLM/</t>
  </si>
  <si>
    <t xml:space="preserve">Project 10 - vLLM serving</t>
  </si>
  <si>
    <t xml:space="preserve">Serve Qwen3-8B (and/or your merged P7 model) on a rented GPU; load test at concurrency 1/8/32/128; BF16 vs FP8 vs AWQ-INT4; prefix caching on/off; speculative decoding on/off.</t>
  </si>
  <si>
    <t xml:space="preserve">https://github.com/vllm-project/vllm</t>
  </si>
  <si>
    <t xml:space="preserve">Benchmarks</t>
  </si>
  <si>
    <t xml:space="preserve">Perf report + Reproduction #6</t>
  </si>
  <si>
    <t xml:space="preserve">Explain every number with roofline/memory math; continuous vs static batching throughput.</t>
  </si>
  <si>
    <t xml:space="preserve">https://arxiv.org/abs/2309.06180</t>
  </si>
  <si>
    <t xml:space="preserve">P10 (DONE)</t>
  </si>
  <si>
    <t xml:space="preserve">Memory + data parallelism</t>
  </si>
  <si>
    <t xml:space="preserve">Ultra-Scale Playbook: memory anatomy, activation recomputation, gradient accumulation, DP, ZeRO-1/2/3; ZeRO sec. 5; mixed precision.</t>
  </si>
  <si>
    <t xml:space="preserve">https://huggingface.co/spaces/nanotron/ultrascale-playbook</t>
  </si>
  <si>
    <t xml:space="preserve">Paper notes #14</t>
  </si>
  <si>
    <t xml:space="preserve">Memory calculator</t>
  </si>
  <si>
    <t xml:space="preserve">8B full fine-tune under DDP vs ZeRO-3 on 8x80GB incl. activations and checkpointing; optional DDP/FSDP run of your GPT on 2 GPUs.</t>
  </si>
  <si>
    <t xml:space="preserve">https://arxiv.org/abs/1910.02054</t>
  </si>
  <si>
    <t xml:space="preserve">mem_calc.py</t>
  </si>
  <si>
    <t xml:space="preserve">Model parallelism</t>
  </si>
  <si>
    <t xml:space="preserve">Playbook TP (column/row), sequence/context parallel, PP (GPipe, 1F1B); Megatron sec. 3; CS336 L7-8; read picotron tensor_parallel.py.</t>
  </si>
  <si>
    <t xml:space="preserve">https://github.com/huggingface/picotron</t>
  </si>
  <si>
    <t xml:space="preserve">Pretraining data</t>
  </si>
  <si>
    <t xml:space="preserve">CS336 L13-14 (sources, filtering, dedup, mixing, synthetic) + FineWeb sec. 3-4. Exercise: layout for 70B on 64xH100 + a data-pipeline sketch.</t>
  </si>
  <si>
    <t xml:space="preserve">https://arxiv.org/abs/2406.17557</t>
  </si>
  <si>
    <t xml:space="preserve">design.md</t>
  </si>
  <si>
    <t xml:space="preserve">ViT + CLIP</t>
  </si>
  <si>
    <t xml:space="preserve">ViT sec. 3.1 (patches as tokens; CNN revision: patch embed = strided conv); CLIP sec. 2 + Figure 3; SigLIP abstract.</t>
  </si>
  <si>
    <t xml:space="preserve">https://arxiv.org/abs/2103.00020</t>
  </si>
  <si>
    <t xml:space="preserve">Paper notes #15</t>
  </si>
  <si>
    <t xml:space="preserve">CLIP from the loss up</t>
  </si>
  <si>
    <t xml:space="preserve">Symmetric InfoNCE + patch embedding; zero-shot classification and text-image retrieval with OpenCLIP.</t>
  </si>
  <si>
    <t xml:space="preserve">https://huggingface.co/learn/computer-vision-course/en/unit4/multimodal-models/clip-and-relatives/clip</t>
  </si>
  <si>
    <t xml:space="preserve">clip.ipynb</t>
  </si>
  <si>
    <t xml:space="preserve">VLM architecture</t>
  </si>
  <si>
    <t xml:space="preserve">Raschka multimodal article; LLaVA sec. 3-4 (projector, 2-stage training); HF VLMs 2025; Umar Jamil PaliGemma sections.</t>
  </si>
  <si>
    <t xml:space="preserve">https://magazine.sebastianraschka.com/p/understanding-multimodal-llms</t>
  </si>
  <si>
    <t xml:space="preserve">nanoVLM</t>
  </si>
  <si>
    <t xml:space="preserve">Read vision encoder -&gt; modality projector -&gt; LM; run a short training (or fine-tune SmolVLM with TRL); inspect how image tokens enter the sequence.</t>
  </si>
  <si>
    <t xml:space="preserve">https://github.com/huggingface/nanoVLM</t>
  </si>
  <si>
    <t xml:space="preserve">vlm notes</t>
  </si>
  <si>
    <t xml:space="preserve">Documents, audio, video</t>
  </si>
  <si>
    <t xml:space="preserve">ColPali sec. 3-4 + blog; OCR (Docling) vs OCR-free; tables/charts; Whisper sec. 2 + run it; TTS overview; video = frame sampling + VLM.</t>
  </si>
  <si>
    <t xml:space="preserve">https://arxiv.org/abs/2407.01449</t>
  </si>
  <si>
    <t xml:space="preserve">Multimodal ingestion</t>
  </si>
  <si>
    <t xml:space="preserve">PDF -&gt; Docling text/tables + page images -&gt; ColPali/ColQwen embeddings; audio -&gt; Whisper transcripts with timestamps.</t>
  </si>
  <si>
    <t xml:space="preserve">https://github.com/illuin-tech/colpali</t>
  </si>
  <si>
    <t xml:space="preserve">ingest.py</t>
  </si>
  <si>
    <t xml:space="preserve">Project 11 - multimodal RAG</t>
  </si>
  <si>
    <t xml:space="preserve">Hybrid text + page-image retrieval; VLM answers over retrieved pages with page citations; voice queries via Whisper.</t>
  </si>
  <si>
    <t xml:space="preserve">P11 app</t>
  </si>
  <si>
    <t xml:space="preserve">Evaluate</t>
  </si>
  <si>
    <t xml:space="preserve">50 multimodal questions (charts, tables, scanned pages) through ragevals; text-only vs image retrieval.</t>
  </si>
  <si>
    <t xml:space="preserve">P11 (DONE)</t>
  </si>
  <si>
    <t xml:space="preserve">Design review</t>
  </si>
  <si>
    <t xml:space="preserve">Re-read the capstone spec, threat model and eval plan; read mini-swe-agent end to end.</t>
  </si>
  <si>
    <t xml:space="preserve">https://github.com/SWE-agent/mini-swe-agent</t>
  </si>
  <si>
    <t xml:space="preserve">ADR.md</t>
  </si>
  <si>
    <t xml:space="preserve">M1 - repo understanding</t>
  </si>
  <si>
    <t xml:space="preserve">tree-sitter parsing, symbol graph + ranked repo map, function/class-level chunking, hybrid code search via P4; expose as a 'repo-intel' MCP server.</t>
  </si>
  <si>
    <t xml:space="preserve">https://aider.chat/docs/repomap.html</t>
  </si>
  <si>
    <t xml:space="preserve">M1</t>
  </si>
  <si>
    <t xml:space="preserve">M2 - agent core</t>
  </si>
  <si>
    <t xml:space="preserve">Planner -&gt; executor loop from P8 with read_file, search_code, edit_file (patch), run_tests, run_shell (Docker, no network), git_diff; task scratchpad + long-term repo notes.</t>
  </si>
  <si>
    <t xml:space="preserve">M2</t>
  </si>
  <si>
    <t xml:space="preserve">M3 - execution, testing, routing, HITL</t>
  </si>
  <si>
    <t xml:space="preserve">Reproduce the bug with a failing test first; edit-test loop with budget; approval before applying patches; router: small vLLM model for cheap steps, frontier model for planning/editing, with fallback.</t>
  </si>
  <si>
    <t xml:space="preserve">https://arxiv.org/abs/2406.18665</t>
  </si>
  <si>
    <t xml:space="preserve">M3</t>
  </si>
  <si>
    <t xml:space="preserve">M4 - multimodal + MCP + observability</t>
  </si>
  <si>
    <t xml:space="preserve">Screenshot/diagram of a bug -&gt; VLM description; docs RAG (P5); MCP client to your servers (P9 + repo-intel); per-step tracing.</t>
  </si>
  <si>
    <t xml:space="preserve">https://huggingface.co/blog/vlms-2025</t>
  </si>
  <si>
    <t xml:space="preserve">M4</t>
  </si>
  <si>
    <t xml:space="preserve">Buffer</t>
  </si>
  <si>
    <t xml:space="preserve">Rest / buffer (25 Dec)</t>
  </si>
  <si>
    <t xml:space="preserve">Holiday. Use only to catch up if you are behind.</t>
  </si>
  <si>
    <t xml:space="preserve">M5 - evaluation</t>
  </si>
  <si>
    <t xml:space="preserve">30 in-house tasks (bug fix, add test, refactor) + 20-50 SWE-bench Lite/Verified instances via the official harness: resolve rate, cost, steps, approval rate.</t>
  </si>
  <si>
    <t xml:space="preserve">https://github.com/SWE-bench/SWE-bench</t>
  </si>
  <si>
    <t xml:space="preserve">M5 results</t>
  </si>
  <si>
    <t xml:space="preserve">M6 - error analysis + ablations</t>
  </si>
  <si>
    <t xml:space="preserve">Fix the top failure modes; ablate repo map, routing, reflection.</t>
  </si>
  <si>
    <t xml:space="preserve">M6</t>
  </si>
  <si>
    <t xml:space="preserve">M7 - hardening</t>
  </si>
  <si>
    <t xml:space="preserve">Prompt-injection tests (malicious README/issue text), secret redaction, cost/time budgets; eval regression suite in CI via ragevals.</t>
  </si>
  <si>
    <t xml:space="preserve">https://genai.owasp.org/llm-top-10/</t>
  </si>
  <si>
    <t xml:space="preserve">M7</t>
  </si>
  <si>
    <t xml:space="preserve">M8 - demo + write-up</t>
  </si>
  <si>
    <t xml:space="preserve">Architecture, results table, lessons learned, recorded demo.</t>
  </si>
  <si>
    <t xml:space="preserve">https://github.com/anshu8830/anshu/blob/main/curriculum/09-capstone-ai-software-engineer.md</t>
  </si>
  <si>
    <t xml:space="preserve">Capstone (DONE)</t>
  </si>
  <si>
    <t xml:space="preserve">Final close-book assessment</t>
  </si>
  <si>
    <t xml:space="preserve">All phase checkpoints; update the skills sheet honestly.</t>
  </si>
  <si>
    <t xml:space="preserve">Assessment</t>
  </si>
  <si>
    <t xml:space="preserve">Retrospective + 2027 plan</t>
  </si>
  <si>
    <t xml:space="preserve">Pick a 2027 track; schedule the deferred items into Q1.</t>
  </si>
  <si>
    <t xml:space="preserve">https://github.com/anshu8830/anshu/blob/main/curriculum/10-2027-continuation.md</t>
  </si>
  <si>
    <t xml:space="preserve">2027 plan</t>
  </si>
  <si>
    <t xml:space="preserve">Publish portfolio</t>
  </si>
  <si>
    <t xml:space="preserve">Clean READMEs for the 11 projects + capstone; a 'what I built in 13 weeks' post.</t>
  </si>
  <si>
    <t xml:space="preserve">Portfolio</t>
  </si>
  <si>
    <t xml:space="preserve">ID</t>
  </si>
  <si>
    <t xml:space="preserve">Weeks</t>
  </si>
  <si>
    <t xml:space="preserve">Due</t>
  </si>
  <si>
    <t xml:space="preserve">Deliverable</t>
  </si>
  <si>
    <t xml:space="preserve">Skills developed</t>
  </si>
  <si>
    <t xml:space="preserve">Status</t>
  </si>
  <si>
    <t xml:space="preserve">Your repo link / notes</t>
  </si>
  <si>
    <t xml:space="preserve">Attention from scratch</t>
  </si>
  <si>
    <t xml:space="preserve">attention.py (SDPA, masks, MHA, cross-attn) + pytest suite + experiment notebook</t>
  </si>
  <si>
    <t xml:space="preserve">Q/K/V shapes, masking, sqrt(d_k) scaling, tests against PyTorch reference</t>
  </si>
  <si>
    <t xml:space="preserve">Not started</t>
  </si>
  <si>
    <t xml:space="preserve">Transformer from scratch</t>
  </si>
  <si>
    <t xml:space="preserve">Decoder-only GPT (RoPE, RMSNorm, SwiGLU, GQA) + encoder-decoder trained on a toy seq2seq task</t>
  </si>
  <si>
    <t xml:space="preserve">Block design, pre-norm residuals, RoPE, GQA, param counting</t>
  </si>
  <si>
    <t xml:space="preserve">Tokenizer + small GPT trained end-to-end</t>
  </si>
  <si>
    <t xml:space="preserve">W3-W4</t>
  </si>
  <si>
    <t xml:space="preserve">Byte-level BPE, training loop, TinyStories model, KV-cache generation, sampling suite, ablation report</t>
  </si>
  <si>
    <t xml:space="preserve">BPE, cross-entropy/perplexity, AdamW + schedules, KV cache, sampling, scaling-law fit, MoE layer</t>
  </si>
  <si>
    <t xml:space="preserve">Embedding &amp; retrieval engine</t>
  </si>
  <si>
    <t xml:space="preserve">BM25, IVF-PQ, HNSW (own + FAISS), hybrid RRF, reranker, pgvector/Qdrant backend, benchmark report</t>
  </si>
  <si>
    <t xml:space="preserve">Contrastive learning, sparse vs dense retrieval, ANN algorithms, IR metrics</t>
  </si>
  <si>
    <t xml:space="preserve">Advanced RAG system</t>
  </si>
  <si>
    <t xml:space="preserve">Config-driven RAG: parsing, chunking variants, query rewriting/HyDE, hybrid+rerank, agentic router, citations</t>
  </si>
  <si>
    <t xml:space="preserve">Every RAG stage + its failure modes, ablation discipline</t>
  </si>
  <si>
    <t xml:space="preserve">RAG / LLM evaluation framework</t>
  </si>
  <si>
    <t xml:space="preserve">ragevals: golden sets, retrieval + judge metrics, judge calibration, bootstrap CIs, CI regression gate</t>
  </si>
  <si>
    <t xml:space="preserve">Error analysis, LLM-as-judge, faithfulness, statistics, regression testing</t>
  </si>
  <si>
    <t xml:space="preserve">Fine-tune an open LLM (SFT + LoRA/QLoRA + DPO + GRPO)</t>
  </si>
  <si>
    <t xml:space="preserve">W8-W9</t>
  </si>
  <si>
    <t xml:space="preserve">SFT-from-scratch, LoRA-from-scratch, QLoRA 8B run, DPO run, GRPO run on verifiable math, eval report</t>
  </si>
  <si>
    <t xml:space="preserve">Chat templates, loss masking, LoRA/QLoRA, preference optimization, RLVR</t>
  </si>
  <si>
    <t xml:space="preserve">AI research agent</t>
  </si>
  <si>
    <t xml:space="preserve">Framework-free agent loop -&gt; planning, memory, reflection, HITL; LangGraph port; agent eval on 20 tasks</t>
  </si>
  <si>
    <t xml:space="preserve">Tool calling, ReAct, memory, multi-agent, agent security, agent evaluation</t>
  </si>
  <si>
    <t xml:space="preserve">Custom MCP server</t>
  </si>
  <si>
    <t xml:space="preserve">MCP server over your retrieval engine: tools + resources + prompts, stdio + Streamable HTTP, auth, tests</t>
  </si>
  <si>
    <t xml:space="preserve">MCP architecture, transports, auth, tool design</t>
  </si>
  <si>
    <t xml:space="preserve">Optimize &amp; serve an LLM with vLLM</t>
  </si>
  <si>
    <t xml:space="preserve">Benchmarked vLLM deployment: BF16/FP8/INT4, prefix caching, spec decoding; perf report with roofline math</t>
  </si>
  <si>
    <t xml:space="preserve">GPU fundamentals, KV cache, batching, quantization, TTFT/TPOT</t>
  </si>
  <si>
    <t xml:space="preserve">Multimodal RAG</t>
  </si>
  <si>
    <t xml:space="preserve">PDF/figure/table/audio RAG: Docling + ColPali-style page retrieval + VLM answers with page citations</t>
  </si>
  <si>
    <t xml:space="preserve">ViT/CLIP, VLM architecture, document understanding, Whisper</t>
  </si>
  <si>
    <t xml:space="preserve">Capstone: AI Software Engineer</t>
  </si>
  <si>
    <t xml:space="preserve">Repo-aware coding agent with RAG, MCP, memory, planning, sandboxed execution, routing, HITL, eval on SWE-bench subset</t>
  </si>
  <si>
    <t xml:space="preserve">Everything - integration, evaluation and hardening</t>
  </si>
  <si>
    <t xml:space="preserve">Title</t>
  </si>
  <si>
    <t xml:space="preserve">Authors</t>
  </si>
  <si>
    <t xml:space="preserve">Year</t>
  </si>
  <si>
    <t xml:space="preserve">Difficulty (1-5)</t>
  </si>
  <si>
    <t xml:space="preserve">Why it matters</t>
  </si>
  <si>
    <t xml:space="preserve">Prerequisites</t>
  </si>
  <si>
    <t xml:space="preserve">Read carefully</t>
  </si>
  <si>
    <t xml:space="preserve">Implement</t>
  </si>
  <si>
    <t xml:space="preserve">Reproduce</t>
  </si>
  <si>
    <t xml:space="preserve">Tier</t>
  </si>
  <si>
    <t xml:space="preserve">Read</t>
  </si>
  <si>
    <t xml:space="preserve">How to Read a Paper</t>
  </si>
  <si>
    <t xml:space="preserve">S. Keshav</t>
  </si>
  <si>
    <t xml:space="preserve">http://ccr.sigcomm.org/online/files/p83-keshavA.pdf</t>
  </si>
  <si>
    <t xml:space="preserve">The three-pass method you will use for every paper below.</t>
  </si>
  <si>
    <t xml:space="preserve">None.</t>
  </si>
  <si>
    <t xml:space="preserve">Whole paper (2 pages).</t>
  </si>
  <si>
    <t xml:space="preserve">A paper-notes template in your repo.</t>
  </si>
  <si>
    <t xml:space="preserve">-</t>
  </si>
  <si>
    <t xml:space="preserve">CORE</t>
  </si>
  <si>
    <t xml:space="preserve">Improving Language Understanding by Generative Pre-Training (GPT-1)</t>
  </si>
  <si>
    <t xml:space="preserve">Radford, Narasimhan, Salimans, Sutskever</t>
  </si>
  <si>
    <t xml:space="preserve">https://cdn.openai.com/research-covers/language-unsupervised/language_understanding_paper.pdf</t>
  </si>
  <si>
    <t xml:space="preserve">Origin of generative pretraining + fine-tuning.</t>
  </si>
  <si>
    <t xml:space="preserve">Attention Is All You Need.</t>
  </si>
  <si>
    <t xml:space="preserve">Sections 1, 3.1-3.3.</t>
  </si>
  <si>
    <t xml:space="preserve">GLU Variants Improve Transformer</t>
  </si>
  <si>
    <t xml:space="preserve">Shazeer</t>
  </si>
  <si>
    <t xml:space="preserve">https://arxiv.org/abs/2002.05202</t>
  </si>
  <si>
    <t xml:space="preserve">Source of SwiGLU used in Llama/Qwen.</t>
  </si>
  <si>
    <t xml:space="preserve">FFN block; gating.</t>
  </si>
  <si>
    <t xml:space="preserve">Whole paper (4 pages).</t>
  </si>
  <si>
    <t xml:space="preserve">SwiGLU FFN.</t>
  </si>
  <si>
    <t xml:space="preserve">Neural Machine Translation of Rare Words with Subword Units (BPE)</t>
  </si>
  <si>
    <t xml:space="preserve">Sennrich, Haddow, Birch</t>
  </si>
  <si>
    <t xml:space="preserve">The BPE algorithm behind GPT tokenizers.</t>
  </si>
  <si>
    <t xml:space="preserve">Section 3.2 + Algorithm 1.</t>
  </si>
  <si>
    <t xml:space="preserve">BPE trainer (P3).</t>
  </si>
  <si>
    <t xml:space="preserve">SentencePiece</t>
  </si>
  <si>
    <t xml:space="preserve">Kudo, Richardson</t>
  </si>
  <si>
    <t xml:space="preserve">Language-independent tokenization; unigram LM alternative.</t>
  </si>
  <si>
    <t xml:space="preserve">BPE paper.</t>
  </si>
  <si>
    <t xml:space="preserve">Sections 2-3.</t>
  </si>
  <si>
    <t xml:space="preserve">Train BPE vs unigram and compare.</t>
  </si>
  <si>
    <t xml:space="preserve">Liu, Lin, Hewitt, Paranjape, Bevilacqua, Petroni, Liang</t>
  </si>
  <si>
    <t xml:space="preserve">Position effects in long contexts - drives context ordering.</t>
  </si>
  <si>
    <t xml:space="preserve">RAG basics.</t>
  </si>
  <si>
    <t xml:space="preserve">Sections 2-4.</t>
  </si>
  <si>
    <t xml:space="preserve">Position sweep on your RAG.</t>
  </si>
  <si>
    <t xml:space="preserve">Chain-of-Thought Prompting</t>
  </si>
  <si>
    <t xml:space="preserve">Wei et al.</t>
  </si>
  <si>
    <t xml:space="preserve">https://arxiv.org/abs/2201.11903</t>
  </si>
  <si>
    <t xml:space="preserve">Reasoning traces as a capability lever.</t>
  </si>
  <si>
    <t xml:space="preserve">Prompting.</t>
  </si>
  <si>
    <t xml:space="preserve">Attention Is All You Need</t>
  </si>
  <si>
    <t xml:space="preserve">Vaswani, Shazeer, Parmar, Uszkoreit, Jones, Gomez, Kaiser, Polosukhin</t>
  </si>
  <si>
    <t xml:space="preserve">Defines the architecture everything else modifies.</t>
  </si>
  <si>
    <t xml:space="preserve">Matrix multiplication, softmax, residual nets; the W1 attention concept note.</t>
  </si>
  <si>
    <t xml:space="preserve">3.1-3.2.3 (attention + multi-head), 3.5 (positional encoding), Table 3 ablations.</t>
  </si>
  <si>
    <t xml:space="preserve">Scaled dot-product attention, MHA, sinusoidal PE (P1/P2).</t>
  </si>
  <si>
    <t xml:space="preserve">Table 3 row (A): vary heads at fixed compute on a toy task.</t>
  </si>
  <si>
    <t xml:space="preserve">BERT: Pre-training of Deep Bidirectional Transformers</t>
  </si>
  <si>
    <t xml:space="preserve">Devlin, Chang, Lee, Toutanova</t>
  </si>
  <si>
    <t xml:space="preserve">Encoder-only counterpart; explains why bidirectional encoders still dominate embeddings/rerankers.</t>
  </si>
  <si>
    <t xml:space="preserve">Transformer encoder; masked vs causal attention.</t>
  </si>
  <si>
    <t xml:space="preserve">Sections 3.1-3.2 (MLM, NSP), Figure 1.</t>
  </si>
  <si>
    <t xml:space="preserve">Masked-LM objective on your encoder (optional).</t>
  </si>
  <si>
    <t xml:space="preserve">Language Models are Unsupervised Multitask Learners (GPT-2)</t>
  </si>
  <si>
    <t xml:space="preserve">Radford, Wu, Child, Luan, Amodei, Sutskever</t>
  </si>
  <si>
    <t xml:space="preserve">https://cdn.openai.com/better-language-models/language_models_are_unsupervised_multitask_learners.pdf</t>
  </si>
  <si>
    <t xml:space="preserve">Zero-shot task transfer from pure LM; byte-level BPE; pre-norm.</t>
  </si>
  <si>
    <t xml:space="preserve">GPT-1; byte-level BPE idea.</t>
  </si>
  <si>
    <t xml:space="preserve">Sections 2.1-2.3 (data, input representation, model changes).</t>
  </si>
  <si>
    <t xml:space="preserve">Byte-level BPE (P3).</t>
  </si>
  <si>
    <t xml:space="preserve">Root Mean Square Layer Normalization</t>
  </si>
  <si>
    <t xml:space="preserve">Zhang, Sennrich</t>
  </si>
  <si>
    <t xml:space="preserve">https://arxiv.org/abs/1910.07467</t>
  </si>
  <si>
    <t xml:space="preserve">Why modern LLMs dropped mean-centering.</t>
  </si>
  <si>
    <t xml:space="preserve">LayerNorm forward/backward.</t>
  </si>
  <si>
    <t xml:space="preserve">RMSNorm layer + test.</t>
  </si>
  <si>
    <t xml:space="preserve">Fast Transformer Decoding: One Write-Head is All You Need (MQA)</t>
  </si>
  <si>
    <t xml:space="preserve">https://arxiv.org/abs/1911.02150</t>
  </si>
  <si>
    <t xml:space="preserve">First paper to attack KV-cache bandwidth.</t>
  </si>
  <si>
    <t xml:space="preserve">MHA; KV cache (W4 concept note helps).</t>
  </si>
  <si>
    <t xml:space="preserve">MQA as GQA special case.</t>
  </si>
  <si>
    <t xml:space="preserve">GQA: Training Generalized Multi-Query Transformer Models</t>
  </si>
  <si>
    <t xml:space="preserve">Ainslie, Lee-Thorp, de Jong, Zemlyanskiy, Lebron, Sanghai</t>
  </si>
  <si>
    <t xml:space="preserve">The KV-sharing scheme used by most current LLMs.</t>
  </si>
  <si>
    <t xml:space="preserve">MQA paper.</t>
  </si>
  <si>
    <t xml:space="preserve">Sections 2-3, Figure 2.</t>
  </si>
  <si>
    <t xml:space="preserve">GQA attention.</t>
  </si>
  <si>
    <t xml:space="preserve">Language Models are Few-Shot Learners (GPT-3)</t>
  </si>
  <si>
    <t xml:space="preserve">Brown et al.</t>
  </si>
  <si>
    <t xml:space="preserve">https://arxiv.org/abs/2005.14165</t>
  </si>
  <si>
    <t xml:space="preserve">In-context learning + the model-size table everyone quotes.</t>
  </si>
  <si>
    <t xml:space="preserve">GPT-2; in-context learning idea.</t>
  </si>
  <si>
    <t xml:space="preserve">Sections 2.1-2.3, Table 2.1, Figure 1.2.</t>
  </si>
  <si>
    <t xml:space="preserve">The Curious Case of Neural Text Degeneration</t>
  </si>
  <si>
    <t xml:space="preserve">Holtzman, Buys, Du, Forbes, Choi</t>
  </si>
  <si>
    <t xml:space="preserve">Why greedy/beam degenerate and why top-p works.</t>
  </si>
  <si>
    <t xml:space="preserve">Softmax, logits, sampling basics.</t>
  </si>
  <si>
    <t xml:space="preserve">Sections 3-5.</t>
  </si>
  <si>
    <t xml:space="preserve">Top-p sampling.</t>
  </si>
  <si>
    <t xml:space="preserve">Distinct-n vs perplexity plot.</t>
  </si>
  <si>
    <t xml:space="preserve">Mixtral of Experts</t>
  </si>
  <si>
    <t xml:space="preserve">Jiang et al.</t>
  </si>
  <si>
    <t xml:space="preserve">https://arxiv.org/abs/2401.04088</t>
  </si>
  <si>
    <t xml:space="preserve">Open production MoE design.</t>
  </si>
  <si>
    <t xml:space="preserve">Switch Transformer.</t>
  </si>
  <si>
    <t xml:space="preserve">Section 2.</t>
  </si>
  <si>
    <t xml:space="preserve">Sentence-BERT</t>
  </si>
  <si>
    <t xml:space="preserve">Reimers, Gurevych</t>
  </si>
  <si>
    <t xml:space="preserve">https://arxiv.org/abs/1908.10084</t>
  </si>
  <si>
    <t xml:space="preserve">Bi-encoder sentence embeddings.</t>
  </si>
  <si>
    <t xml:space="preserve">BERT; cosine similarity.</t>
  </si>
  <si>
    <t xml:space="preserve">Sections 3-4.</t>
  </si>
  <si>
    <t xml:space="preserve">Bi-encoder fine-tune.</t>
  </si>
  <si>
    <t xml:space="preserve">Dense Passage Retrieval for Open-Domain QA</t>
  </si>
  <si>
    <t xml:space="preserve">Karpukhin et al.</t>
  </si>
  <si>
    <t xml:space="preserve">https://arxiv.org/abs/2004.04906</t>
  </si>
  <si>
    <t xml:space="preserve">Dense retrieval with in-batch negatives beats BM25 in-domain.</t>
  </si>
  <si>
    <t xml:space="preserve">SBERT; BM25 baseline.</t>
  </si>
  <si>
    <t xml:space="preserve">Sections 3.1-3.2, 5.</t>
  </si>
  <si>
    <t xml:space="preserve">In-batch negatives.</t>
  </si>
  <si>
    <t xml:space="preserve">BEIR: Heterogeneous Benchmark for Zero-shot IR</t>
  </si>
  <si>
    <t xml:space="preserve">Thakur, Reimers, Ruckle, Srivastava, Gurevych</t>
  </si>
  <si>
    <t xml:space="preserve">Shows BM25 is a strong zero-shot baseline; standard IR eval.</t>
  </si>
  <si>
    <t xml:space="preserve">IR metrics (nDCG@10).</t>
  </si>
  <si>
    <t xml:space="preserve">Sections 3-5, Table 2.</t>
  </si>
  <si>
    <t xml:space="preserve">nDCG@10 harness.</t>
  </si>
  <si>
    <t xml:space="preserve">BM25 nDCG@10 on SciFact within ~0.02 of the paper (Reproduction #3).</t>
  </si>
  <si>
    <t xml:space="preserve">Retrieval-Augmented Generation for Knowledge-Intensive NLP</t>
  </si>
  <si>
    <t xml:space="preserve">Lewis et al.</t>
  </si>
  <si>
    <t xml:space="preserve">Names and formalizes RAG.</t>
  </si>
  <si>
    <t xml:space="preserve">DPR; seq2seq generation.</t>
  </si>
  <si>
    <t xml:space="preserve">Sections 2.1-2.4.</t>
  </si>
  <si>
    <t xml:space="preserve">Precise Zero-Shot Dense Retrieval without Relevance Labels (HyDE)</t>
  </si>
  <si>
    <t xml:space="preserve">Gao, Ma, Lin, Callan</t>
  </si>
  <si>
    <t xml:space="preserve">Generate-then-retrieve query expansion.</t>
  </si>
  <si>
    <t xml:space="preserve">Dense retrieval.</t>
  </si>
  <si>
    <t xml:space="preserve">Section 3.</t>
  </si>
  <si>
    <t xml:space="preserve">HyDE stage in P5.</t>
  </si>
  <si>
    <t xml:space="preserve">Judging LLM-as-a-Judge with MT-Bench and Chatbot Arena</t>
  </si>
  <si>
    <t xml:space="preserve">Zheng et al.</t>
  </si>
  <si>
    <t xml:space="preserve">Quantifies judge biases (position, verbosity, self-preference).</t>
  </si>
  <si>
    <t xml:space="preserve">Pairwise comparison; Elo intuition.</t>
  </si>
  <si>
    <t xml:space="preserve">Pairwise judge with swap.</t>
  </si>
  <si>
    <t xml:space="preserve">Measure position bias of your judge.</t>
  </si>
  <si>
    <t xml:space="preserve">G-Eval</t>
  </si>
  <si>
    <t xml:space="preserve">Liu, Iter, Xu, Wang, Xu, Zhu</t>
  </si>
  <si>
    <t xml:space="preserve">https://arxiv.org/abs/2303.16634</t>
  </si>
  <si>
    <t xml:space="preserve">Rubric/CoT-based judging.</t>
  </si>
  <si>
    <t xml:space="preserve">Prompting; rubric scoring.</t>
  </si>
  <si>
    <t xml:space="preserve">Rubric judge.</t>
  </si>
  <si>
    <t xml:space="preserve">RAGAS: Automated Evaluation of RAG</t>
  </si>
  <si>
    <t xml:space="preserve">Es, James, Espinosa-Anke, Schockaert</t>
  </si>
  <si>
    <t xml:space="preserve">Faithfulness / answer relevance / context relevance definitions.</t>
  </si>
  <si>
    <t xml:space="preserve">RAG pipeline; NLI/entailment intuition.</t>
  </si>
  <si>
    <t xml:space="preserve">Your own faithfulness metric.</t>
  </si>
  <si>
    <t xml:space="preserve">Who Validates the Validators?</t>
  </si>
  <si>
    <t xml:space="preserve">Shankar, Zamfirescu-Pereira, Hartmann, Parameswaran, Arawjo</t>
  </si>
  <si>
    <t xml:space="preserve">https://arxiv.org/abs/2404.12272</t>
  </si>
  <si>
    <t xml:space="preserve">Criteria drift; aligning judges with humans.</t>
  </si>
  <si>
    <t xml:space="preserve">LLM-as-judge basics.</t>
  </si>
  <si>
    <t xml:space="preserve">Sections 1, 4-6.</t>
  </si>
  <si>
    <t xml:space="preserve">Judge calibration loop.</t>
  </si>
  <si>
    <t xml:space="preserve">tau-bench: Tool-Agent-User Interaction</t>
  </si>
  <si>
    <t xml:space="preserve">Yao, Shinn, Razavi, Narasimhan</t>
  </si>
  <si>
    <t xml:space="preserve">State-based agent evaluation and pass^k reliability.</t>
  </si>
  <si>
    <t xml:space="preserve">Tool calling; agent loop.</t>
  </si>
  <si>
    <t xml:space="preserve">pass^k metric.</t>
  </si>
  <si>
    <t xml:space="preserve">LoRA: Low-Rank Adaptation</t>
  </si>
  <si>
    <t xml:space="preserve">Hu et al.</t>
  </si>
  <si>
    <t xml:space="preserve">Default PEFT method.</t>
  </si>
  <si>
    <t xml:space="preserve">Matrix rank; fine-tuning.</t>
  </si>
  <si>
    <t xml:space="preserve">Sections 4.1-4.2, 7.</t>
  </si>
  <si>
    <t xml:space="preserve">LoRALinear from scratch.</t>
  </si>
  <si>
    <t xml:space="preserve">Rank sweep + LR sweep (Reproduction #4 with 'LoRA Without Regret').</t>
  </si>
  <si>
    <t xml:space="preserve">s1: Simple Test-Time Scaling</t>
  </si>
  <si>
    <t xml:space="preserve">Muennighoff et al.</t>
  </si>
  <si>
    <t xml:space="preserve">1K SFT examples + budget forcing -&gt; test-time scaling.</t>
  </si>
  <si>
    <t xml:space="preserve">SFT; decoding control.</t>
  </si>
  <si>
    <t xml:space="preserve">Budget forcing at inference.</t>
  </si>
  <si>
    <t xml:space="preserve">ReAct: Synergizing Reasoning and Acting</t>
  </si>
  <si>
    <t xml:space="preserve">Yao et al.</t>
  </si>
  <si>
    <t xml:space="preserve">The thought -&gt; action -&gt; observation loop.</t>
  </si>
  <si>
    <t xml:space="preserve">Tool calling; prompting.</t>
  </si>
  <si>
    <t xml:space="preserve">Raw agent loop.</t>
  </si>
  <si>
    <t xml:space="preserve">Reflexion</t>
  </si>
  <si>
    <t xml:space="preserve">Shinn, Cassano, Berman, Gopinath, Narasimhan, Yao</t>
  </si>
  <si>
    <t xml:space="preserve">https://arxiv.org/abs/2303.11366</t>
  </si>
  <si>
    <t xml:space="preserve">Verbal self-reflection memory.</t>
  </si>
  <si>
    <t xml:space="preserve">ReAct.</t>
  </si>
  <si>
    <t xml:space="preserve">Self-critique step.</t>
  </si>
  <si>
    <t xml:space="preserve">MemGPT: Towards LLMs as Operating Systems</t>
  </si>
  <si>
    <t xml:space="preserve">Packer et al.</t>
  </si>
  <si>
    <t xml:space="preserve">Paging model for agent memory.</t>
  </si>
  <si>
    <t xml:space="preserve">Context windows; retrieval.</t>
  </si>
  <si>
    <t xml:space="preserve">Memory tiers in P8.</t>
  </si>
  <si>
    <t xml:space="preserve">The FineWeb Datasets</t>
  </si>
  <si>
    <t xml:space="preserve">Penedo et al.</t>
  </si>
  <si>
    <t xml:space="preserve">Modern web-data filtering and dedup ablations.</t>
  </si>
  <si>
    <t xml:space="preserve">Pretraining data basics; MinHash intuition.</t>
  </si>
  <si>
    <t xml:space="preserve">An Image is Worth 16x16 Words (ViT)</t>
  </si>
  <si>
    <t xml:space="preserve">Dosovitskiy et al.</t>
  </si>
  <si>
    <t xml:space="preserve">https://arxiv.org/abs/2010.11929</t>
  </si>
  <si>
    <t xml:space="preserve">Images as token sequences.</t>
  </si>
  <si>
    <t xml:space="preserve">Transformer encoder; convolution.</t>
  </si>
  <si>
    <t xml:space="preserve">Section 3.1.</t>
  </si>
  <si>
    <t xml:space="preserve">Patch embedding.</t>
  </si>
  <si>
    <t xml:space="preserve">Learning Transferable Visual Models from Natural Language Supervision (CLIP)</t>
  </si>
  <si>
    <t xml:space="preserve">Radford et al.</t>
  </si>
  <si>
    <t xml:space="preserve">Contrastive image-text alignment.</t>
  </si>
  <si>
    <t xml:space="preserve">InfoNCE; ViT.</t>
  </si>
  <si>
    <t xml:space="preserve">Sections 2.1-2.5, Figure 3 pseudocode.</t>
  </si>
  <si>
    <t xml:space="preserve">Symmetric CLIP loss.</t>
  </si>
  <si>
    <t xml:space="preserve">Zero-shot accuracy on a small dataset.</t>
  </si>
  <si>
    <t xml:space="preserve">Visual Instruction Tuning (LLaVA)</t>
  </si>
  <si>
    <t xml:space="preserve">Liu, Li, Wu, Lee</t>
  </si>
  <si>
    <t xml:space="preserve">https://arxiv.org/abs/2304.08485</t>
  </si>
  <si>
    <t xml:space="preserve">Projection-layer VLM recipe.</t>
  </si>
  <si>
    <t xml:space="preserve">CLIP; instruction tuning.</t>
  </si>
  <si>
    <t xml:space="preserve">Robust Speech Recognition via Large-Scale Weak Supervision (Whisper)</t>
  </si>
  <si>
    <t xml:space="preserve">Radford, Kim, Xu, Brockman, McLeavey, Sutskever</t>
  </si>
  <si>
    <t xml:space="preserve">https://arxiv.org/abs/2212.04356</t>
  </si>
  <si>
    <t xml:space="preserve">Seq2seq ASR at scale.</t>
  </si>
  <si>
    <t xml:space="preserve">Encoder-decoder transformers; spectrograms.</t>
  </si>
  <si>
    <t xml:space="preserve">SWE-bench</t>
  </si>
  <si>
    <t xml:space="preserve">Jimenez, Yang, Wettig, Yao, Pei, Press, Narasimhan</t>
  </si>
  <si>
    <t xml:space="preserve">https://arxiv.org/abs/2310.06770</t>
  </si>
  <si>
    <t xml:space="preserve">The benchmark your capstone runs on.</t>
  </si>
  <si>
    <t xml:space="preserve">Agent loop; unit tests; git patches.</t>
  </si>
  <si>
    <t xml:space="preserve">Harness integration.</t>
  </si>
  <si>
    <t xml:space="preserve">Resolve rate on a Lite/Verified subset.</t>
  </si>
  <si>
    <t xml:space="preserve">RouteLLM</t>
  </si>
  <si>
    <t xml:space="preserve">Ong et al.</t>
  </si>
  <si>
    <t xml:space="preserve">Learned strong/weak model routing.</t>
  </si>
  <si>
    <t xml:space="preserve">LLM-as-judge; classifiers.</t>
  </si>
  <si>
    <t xml:space="preserve">Router in capstone.</t>
  </si>
  <si>
    <t xml:space="preserve">On Layer Normalization in the Transformer Architecture</t>
  </si>
  <si>
    <t xml:space="preserve">Xiong et al.</t>
  </si>
  <si>
    <t xml:space="preserve">Explains why pre-norm trains without warmup tricks.</t>
  </si>
  <si>
    <t xml:space="preserve">Residual streams, LayerNorm, LR warmup.</t>
  </si>
  <si>
    <t xml:space="preserve">Sections 1, 3 (skip proofs on first pass).</t>
  </si>
  <si>
    <t xml:space="preserve">Pre-norm vs post-norm switch.</t>
  </si>
  <si>
    <t xml:space="preserve">W3 ablation: post-norm diverges at high LR, pre-norm does not.</t>
  </si>
  <si>
    <t xml:space="preserve">RoFormer: Enhanced Transformer with Rotary Position Embedding</t>
  </si>
  <si>
    <t xml:space="preserve">Su, Lu, Pan, Murtadha, Wen, Liu</t>
  </si>
  <si>
    <t xml:space="preserve">RoPE is the default positional scheme in open LLMs.</t>
  </si>
  <si>
    <t xml:space="preserve">Complex numbers / 2-D rotations; dot-product attention.</t>
  </si>
  <si>
    <t xml:space="preserve">RoPE + numerical relative-position test.</t>
  </si>
  <si>
    <t xml:space="preserve">Scaling Laws for Neural Language Models</t>
  </si>
  <si>
    <t xml:space="preserve">Kaplan et al.</t>
  </si>
  <si>
    <t xml:space="preserve">https://arxiv.org/abs/2001.08361</t>
  </si>
  <si>
    <t xml:space="preserve">Power-law relationships between loss and N, D, C.</t>
  </si>
  <si>
    <t xml:space="preserve">Log-log plots, power laws, C ~ 6ND.</t>
  </si>
  <si>
    <t xml:space="preserve">Sections 1-3, Figures 1-4.</t>
  </si>
  <si>
    <t xml:space="preserve">Fit L(N) on your runs.</t>
  </si>
  <si>
    <t xml:space="preserve">Training Compute-Optimal Large Language Models (Chinchilla)</t>
  </si>
  <si>
    <t xml:space="preserve">Hoffmann et al.</t>
  </si>
  <si>
    <t xml:space="preserve">Corrected Kaplan: scale data with parameters (~20 tokens/param).</t>
  </si>
  <si>
    <t xml:space="preserve">Kaplan scaling laws.</t>
  </si>
  <si>
    <t xml:space="preserve">Sections 3.1-3.3 (three approaches), Table 3.</t>
  </si>
  <si>
    <t xml:space="preserve">C = 6ND calculator.</t>
  </si>
  <si>
    <t xml:space="preserve">Mini IsoFLOP study (Reproduction #2).</t>
  </si>
  <si>
    <t xml:space="preserve">Switch Transformers</t>
  </si>
  <si>
    <t xml:space="preserve">Fedus, Zoph, Shazeer</t>
  </si>
  <si>
    <t xml:space="preserve">Canonical sparse MoE routing + load balancing.</t>
  </si>
  <si>
    <t xml:space="preserve">FFN block; softmax routing.</t>
  </si>
  <si>
    <t xml:space="preserve">Sections 2.1-2.2 (routing, aux loss).</t>
  </si>
  <si>
    <t xml:space="preserve">Top-k router + aux loss.</t>
  </si>
  <si>
    <t xml:space="preserve">Dense vs MoE at equal active params.</t>
  </si>
  <si>
    <t xml:space="preserve">Representation Learning with Contrastive Predictive Coding (InfoNCE)</t>
  </si>
  <si>
    <t xml:space="preserve">van den Oord, Li, Vinyals</t>
  </si>
  <si>
    <t xml:space="preserve">https://arxiv.org/abs/1807.03748</t>
  </si>
  <si>
    <t xml:space="preserve">Origin of the InfoNCE loss used by every embedding model.</t>
  </si>
  <si>
    <t xml:space="preserve">Softmax cross-entropy; mutual information intuition.</t>
  </si>
  <si>
    <t xml:space="preserve">Section 2.3 (InfoNCE).</t>
  </si>
  <si>
    <t xml:space="preserve">InfoNCE with in-batch negatives.</t>
  </si>
  <si>
    <t xml:space="preserve">Product Quantization for Nearest Neighbor Search</t>
  </si>
  <si>
    <t xml:space="preserve">Jegou, Douze, Schmid</t>
  </si>
  <si>
    <t xml:space="preserve">Compression behind IVF-PQ in FAISS and most vector DBs.</t>
  </si>
  <si>
    <t xml:space="preserve">k-means; Euclidean distance decomposition.</t>
  </si>
  <si>
    <t xml:space="preserve">Sections II-III (PQ, ADC/SDC).</t>
  </si>
  <si>
    <t xml:space="preserve">PQ + ADC in NumPy.</t>
  </si>
  <si>
    <t xml:space="preserve">Recall vs code size curve.</t>
  </si>
  <si>
    <t xml:space="preserve">Efficient and Robust ANN Search using HNSW Graphs</t>
  </si>
  <si>
    <t xml:space="preserve">Malkov, Yashunin</t>
  </si>
  <si>
    <t xml:space="preserve">Default ANN index in pgvector/Qdrant/most DBs.</t>
  </si>
  <si>
    <t xml:space="preserve">Graph search, greedy/beam search; small-world graphs.</t>
  </si>
  <si>
    <t xml:space="preserve">Sections 3-4, Algorithms 1-4.</t>
  </si>
  <si>
    <t xml:space="preserve">NSW/HNSW search.</t>
  </si>
  <si>
    <t xml:space="preserve">Recall-latency vs M/efSearch.</t>
  </si>
  <si>
    <t xml:space="preserve">The Faiss Library</t>
  </si>
  <si>
    <t xml:space="preserve">Douze et al.</t>
  </si>
  <si>
    <t xml:space="preserve">https://arxiv.org/abs/2401.08281</t>
  </si>
  <si>
    <t xml:space="preserve">Map of the whole ANN design space by its authors.</t>
  </si>
  <si>
    <t xml:space="preserve">PQ + HNSW papers.</t>
  </si>
  <si>
    <t xml:space="preserve">Sections 3-5 (skim).</t>
  </si>
  <si>
    <t xml:space="preserve">ColBERT: Late Interaction over BERT</t>
  </si>
  <si>
    <t xml:space="preserve">Khattab, Zaharia</t>
  </si>
  <si>
    <t xml:space="preserve">Multi-vector retrieval (MaxSim).</t>
  </si>
  <si>
    <t xml:space="preserve">BERT; bi-encoder vs cross-encoder.</t>
  </si>
  <si>
    <t xml:space="preserve">MaxSim reranker.</t>
  </si>
  <si>
    <t xml:space="preserve">M3-Embedding (BGE-M3)</t>
  </si>
  <si>
    <t xml:space="preserve">Chen, Xiao, Zhang, Luo, Lian, Liu</t>
  </si>
  <si>
    <t xml:space="preserve">Dense + sparse + multi-vector from one model.</t>
  </si>
  <si>
    <t xml:space="preserve">Dense, sparse (lexical weights) and multi-vector retrieval.</t>
  </si>
  <si>
    <t xml:space="preserve">Use its three heads in P5.</t>
  </si>
  <si>
    <t xml:space="preserve">Self-RAG</t>
  </si>
  <si>
    <t xml:space="preserve">Asai, Wu, Wang, Sil, Hajishirzi</t>
  </si>
  <si>
    <t xml:space="preserve">Retrieval-on-demand + self-critique tokens.</t>
  </si>
  <si>
    <t xml:space="preserve">RAG; instruction tuning.</t>
  </si>
  <si>
    <t xml:space="preserve">Abstract, Section 3 overview.</t>
  </si>
  <si>
    <t xml:space="preserve">From Local to Global: A Graph RAG Approach</t>
  </si>
  <si>
    <t xml:space="preserve">Edge et al.</t>
  </si>
  <si>
    <t xml:space="preserve">Entity graph + community summaries for global questions.</t>
  </si>
  <si>
    <t xml:space="preserve">RAG; community detection (Leiden) at intuition level.</t>
  </si>
  <si>
    <t xml:space="preserve">Optional entity graph.</t>
  </si>
  <si>
    <t xml:space="preserve">Training LMs to Follow Instructions with Human Feedback (InstructGPT)</t>
  </si>
  <si>
    <t xml:space="preserve">Ouyang et al.</t>
  </si>
  <si>
    <t xml:space="preserve">https://arxiv.org/abs/2203.02155</t>
  </si>
  <si>
    <t xml:space="preserve">The SFT -&gt; RM -&gt; PPO recipe.</t>
  </si>
  <si>
    <t xml:space="preserve">SFT; reward models; PPO at intuition level.</t>
  </si>
  <si>
    <t xml:space="preserve">Sections 3.1-3.5, Figure 2.</t>
  </si>
  <si>
    <t xml:space="preserve">SFT with loss masking; RM loss.</t>
  </si>
  <si>
    <t xml:space="preserve">QLoRA</t>
  </si>
  <si>
    <t xml:space="preserve">Dettmers, Pagnoni, Holtzman, Zettlemoyer</t>
  </si>
  <si>
    <t xml:space="preserve">Fine-tune 7-70B on one GPU (NF4, double quant, paged optimizers).</t>
  </si>
  <si>
    <t xml:space="preserve">LoRA; quantization basics (absmax, blocks).</t>
  </si>
  <si>
    <t xml:space="preserve">NF4 quantize/dequantize toy.</t>
  </si>
  <si>
    <t xml:space="preserve">Deep RL from Human Preferences</t>
  </si>
  <si>
    <t xml:space="preserve">Christiano, Leike, Brown, Martic, Legg, Amodei</t>
  </si>
  <si>
    <t xml:space="preserve">https://arxiv.org/abs/1706.03741</t>
  </si>
  <si>
    <t xml:space="preserve">Origin of learning rewards from comparisons.</t>
  </si>
  <si>
    <t xml:space="preserve">Bradley-Terry model; RL basics.</t>
  </si>
  <si>
    <t xml:space="preserve">Sections 1-2.</t>
  </si>
  <si>
    <t xml:space="preserve">Bradley-Terry RM loss.</t>
  </si>
  <si>
    <t xml:space="preserve">DeepSeek-R1</t>
  </si>
  <si>
    <t xml:space="preserve">DeepSeek-AI</t>
  </si>
  <si>
    <t xml:space="preserve">https://arxiv.org/abs/2501.12948</t>
  </si>
  <si>
    <t xml:space="preserve">RL-from-base (R1-Zero), emergent long CoT, distillation.</t>
  </si>
  <si>
    <t xml:space="preserve">GRPO; SFT; distillation.</t>
  </si>
  <si>
    <t xml:space="preserve">Tulu 3: Pushing Frontiers in Open Post-Training</t>
  </si>
  <si>
    <t xml:space="preserve">Lambert et al.</t>
  </si>
  <si>
    <t xml:space="preserve">https://arxiv.org/abs/2411.15124</t>
  </si>
  <si>
    <t xml:space="preserve">Fully open SFT -&gt; DPO -&gt; RLVR recipe.</t>
  </si>
  <si>
    <t xml:space="preserve">SFT, DPO, RLVR.</t>
  </si>
  <si>
    <t xml:space="preserve">RLVR section + data sections (skim).</t>
  </si>
  <si>
    <t xml:space="preserve">Efficient Memory Management for LLM Serving with PagedAttention</t>
  </si>
  <si>
    <t xml:space="preserve">Kwon et al.</t>
  </si>
  <si>
    <t xml:space="preserve">KV-cache paging + continuous batching.</t>
  </si>
  <si>
    <t xml:space="preserve">KV cache; virtual memory paging; batching.</t>
  </si>
  <si>
    <t xml:space="preserve">Sections 3-4, 6.</t>
  </si>
  <si>
    <t xml:space="preserve">Throughput vs static batching (Reproduction #6).</t>
  </si>
  <si>
    <t xml:space="preserve">Sarathi-Serve (chunked prefill)</t>
  </si>
  <si>
    <t xml:space="preserve">Agrawal et al.</t>
  </si>
  <si>
    <t xml:space="preserve">https://arxiv.org/abs/2403.02310</t>
  </si>
  <si>
    <t xml:space="preserve">Prefill/decode interference and chunked prefill.</t>
  </si>
  <si>
    <t xml:space="preserve">Prefill vs decode; continuous batching.</t>
  </si>
  <si>
    <t xml:space="preserve">Fast Inference from Transformers via Speculative Decoding</t>
  </si>
  <si>
    <t xml:space="preserve">Leviathan, Kalman, Matias</t>
  </si>
  <si>
    <t xml:space="preserve">Exact speedup with a draft model.</t>
  </si>
  <si>
    <t xml:space="preserve">Rejection sampling; autoregressive decoding.</t>
  </si>
  <si>
    <t xml:space="preserve">Speculative sampling.</t>
  </si>
  <si>
    <t xml:space="preserve">Acceptance-rate vs k.</t>
  </si>
  <si>
    <t xml:space="preserve">LLM.int8()</t>
  </si>
  <si>
    <t xml:space="preserve">Dettmers, Lewis, Belkada, Zettlemoyer</t>
  </si>
  <si>
    <t xml:space="preserve">https://arxiv.org/abs/2208.07339</t>
  </si>
  <si>
    <t xml:space="preserve">Outlier features and why naive INT8 breaks.</t>
  </si>
  <si>
    <t xml:space="preserve">Integer quantization; matmul decomposition.</t>
  </si>
  <si>
    <t xml:space="preserve">AWQ: Activation-aware Weight Quantization</t>
  </si>
  <si>
    <t xml:space="preserve">Lin et al.</t>
  </si>
  <si>
    <t xml:space="preserve">https://arxiv.org/abs/2306.00978</t>
  </si>
  <si>
    <t xml:space="preserve">Protect salient channels via scaling.</t>
  </si>
  <si>
    <t xml:space="preserve">Quantization; activation statistics.</t>
  </si>
  <si>
    <t xml:space="preserve">AWQ vs BF16 quality/speed in P10.</t>
  </si>
  <si>
    <t xml:space="preserve">ZeRO: Memory Optimizations Toward Training Trillion Parameter Models</t>
  </si>
  <si>
    <t xml:space="preserve">Rajbhandari, Rasley, Ruwase, He</t>
  </si>
  <si>
    <t xml:space="preserve">Optimizer/gradient/parameter sharding (basis of FSDP).</t>
  </si>
  <si>
    <t xml:space="preserve">Adam state memory; data parallelism; all-reduce.</t>
  </si>
  <si>
    <t xml:space="preserve">Sections 4-5.</t>
  </si>
  <si>
    <t xml:space="preserve">Memory table for 8B model.</t>
  </si>
  <si>
    <t xml:space="preserve">Megatron-LM</t>
  </si>
  <si>
    <t xml:space="preserve">Shoeybi et al.</t>
  </si>
  <si>
    <t xml:space="preserve">https://arxiv.org/abs/1909.08053</t>
  </si>
  <si>
    <t xml:space="preserve">Tensor parallelism for transformer blocks.</t>
  </si>
  <si>
    <t xml:space="preserve">Matmul partitioning; all-reduce.</t>
  </si>
  <si>
    <t xml:space="preserve">ColPali: Efficient Document Retrieval with VLMs</t>
  </si>
  <si>
    <t xml:space="preserve">Faysse et al.</t>
  </si>
  <si>
    <t xml:space="preserve">OCR-free page retrieval with multi-vector VLM embeddings.</t>
  </si>
  <si>
    <t xml:space="preserve">ColBERT MaxSim; VLMs.</t>
  </si>
  <si>
    <t xml:space="preserve">Page-image retrieval in P11.</t>
  </si>
  <si>
    <t xml:space="preserve">Proximal Policy Optimization Algorithms</t>
  </si>
  <si>
    <t xml:space="preserve">Schulman, Wolski, Dhariwal, Radford, Klimov</t>
  </si>
  <si>
    <t xml:space="preserve">Clipped surrogate objective used in RLHF and GRPO.</t>
  </si>
  <si>
    <t xml:space="preserve">Policy gradients; advantage; KL divergence.</t>
  </si>
  <si>
    <t xml:space="preserve">Sections 2-5.</t>
  </si>
  <si>
    <t xml:space="preserve">PPO clip loss.</t>
  </si>
  <si>
    <t xml:space="preserve">Direct Preference Optimization</t>
  </si>
  <si>
    <t xml:space="preserve">Rafailov, Sharma, Mitchell, Ermon, Manning, Finn</t>
  </si>
  <si>
    <t xml:space="preserve">RLHF without a reward model or RL loop.</t>
  </si>
  <si>
    <t xml:space="preserve">RLHF objective with KL penalty; Bradley-Terry; log-probs of sequences.</t>
  </si>
  <si>
    <t xml:space="preserve">Sections 4-5 (derivation), Appendix A.1.</t>
  </si>
  <si>
    <t xml:space="preserve">DPO loss from scratch.</t>
  </si>
  <si>
    <t xml:space="preserve">DPO vs SFT win-rate on your eval.</t>
  </si>
  <si>
    <t xml:space="preserve">DeepSeekMath (introduces GRPO)</t>
  </si>
  <si>
    <t xml:space="preserve">Shao et al.</t>
  </si>
  <si>
    <t xml:space="preserve">GRPO: critic-free PPO with group baselines.</t>
  </si>
  <si>
    <t xml:space="preserve">PPO.</t>
  </si>
  <si>
    <t xml:space="preserve">Section 4 (4.1-4.2).</t>
  </si>
  <si>
    <t xml:space="preserve">GRPO loss.</t>
  </si>
  <si>
    <t xml:space="preserve">Understanding R1-Zero-Like Training: A Critical Perspective (Dr. GRPO)</t>
  </si>
  <si>
    <t xml:space="preserve">Liu et al.</t>
  </si>
  <si>
    <t xml:space="preserve">Finds GRPO's length bias; simple fix.</t>
  </si>
  <si>
    <t xml:space="preserve">GRPO objective in detail.</t>
  </si>
  <si>
    <t xml:space="preserve">Dr. GRPO normalization flag.</t>
  </si>
  <si>
    <t xml:space="preserve">Length growth with/without fix (Reproduction #5).</t>
  </si>
  <si>
    <t xml:space="preserve">DAPO: Open-Source LLM RL System at Scale</t>
  </si>
  <si>
    <t xml:space="preserve">Yu et al.</t>
  </si>
  <si>
    <t xml:space="preserve">https://arxiv.org/abs/2503.14476</t>
  </si>
  <si>
    <t xml:space="preserve">Clip-higher, dynamic sampling, token-level loss, overlong shaping.</t>
  </si>
  <si>
    <t xml:space="preserve">GRPO; PPO clipping.</t>
  </si>
  <si>
    <t xml:space="preserve">Clip-higher option.</t>
  </si>
  <si>
    <t xml:space="preserve">Dao, Fu, Ermon, Rudra, Re</t>
  </si>
  <si>
    <t xml:space="preserve">IO-aware exact attention - the canonical 'memory, not FLOPs' lesson.</t>
  </si>
  <si>
    <t xml:space="preserve">GPU memory hierarchy (HBM vs SRAM); softmax; roofline.</t>
  </si>
  <si>
    <t xml:space="preserve">Sections 2-3 (algorithm, IO analysis).</t>
  </si>
  <si>
    <t xml:space="preserve">Tiled online-softmax attention in PyTorch.</t>
  </si>
  <si>
    <t xml:space="preserve">HBM traffic estimate vs naive.</t>
  </si>
  <si>
    <t xml:space="preserve">GPTQ</t>
  </si>
  <si>
    <t xml:space="preserve">Frantar, Ashkboos, Hoefler, Alistarh</t>
  </si>
  <si>
    <t xml:space="preserve">https://arxiv.org/abs/2210.17323</t>
  </si>
  <si>
    <t xml:space="preserve">Second-order post-training weight quantization.</t>
  </si>
  <si>
    <t xml:space="preserve">Quantization; Hessian / second-order intuition.</t>
  </si>
  <si>
    <t xml:space="preserve">Sections 3-4 (idea level).</t>
  </si>
  <si>
    <t xml:space="preserve">GPipe</t>
  </si>
  <si>
    <t xml:space="preserve">Huang et al.</t>
  </si>
  <si>
    <t xml:space="preserve">2027</t>
  </si>
  <si>
    <t xml:space="preserve">https://arxiv.org/abs/1811.06965</t>
  </si>
  <si>
    <t xml:space="preserve">Pipeline parallelism + micro-batching.</t>
  </si>
  <si>
    <t xml:space="preserve">Data parallelism; micro-batching.</t>
  </si>
  <si>
    <t xml:space="preserve">EXT</t>
  </si>
  <si>
    <t xml:space="preserve">Let's Verify Step by Step</t>
  </si>
  <si>
    <t xml:space="preserve">Lightman et al.</t>
  </si>
  <si>
    <t xml:space="preserve">https://arxiv.org/abs/2305.20050</t>
  </si>
  <si>
    <t xml:space="preserve">Process vs outcome reward models.</t>
  </si>
  <si>
    <t xml:space="preserve">Reward models; step-level labels.</t>
  </si>
  <si>
    <t xml:space="preserve">Constitutional AI</t>
  </si>
  <si>
    <t xml:space="preserve">Bai et al.</t>
  </si>
  <si>
    <t xml:space="preserve">https://arxiv.org/abs/2212.08073</t>
  </si>
  <si>
    <t xml:space="preserve">AI feedback instead of human labels.</t>
  </si>
  <si>
    <t xml:space="preserve">RLHF; critique-revision.</t>
  </si>
  <si>
    <t xml:space="preserve">DeepSeekMoE</t>
  </si>
  <si>
    <t xml:space="preserve">Dai et al.</t>
  </si>
  <si>
    <t xml:space="preserve">https://arxiv.org/abs/2401.06066</t>
  </si>
  <si>
    <t xml:space="preserve">Fine-grained + shared experts.</t>
  </si>
  <si>
    <t xml:space="preserve">Switch/Mixtral MoE.</t>
  </si>
  <si>
    <t xml:space="preserve">Qwen3 Technical Report</t>
  </si>
  <si>
    <t xml:space="preserve">Qwen Team</t>
  </si>
  <si>
    <t xml:space="preserve">https://arxiv.org/abs/2505.09388</t>
  </si>
  <si>
    <t xml:space="preserve">Thinking/non-thinking modes, MoE, post-training pipeline.</t>
  </si>
  <si>
    <t xml:space="preserve">Modern LLM architecture + post-training.</t>
  </si>
  <si>
    <t xml:space="preserve">Architecture + post-training sections.</t>
  </si>
  <si>
    <t xml:space="preserve">ColBERTv2</t>
  </si>
  <si>
    <t xml:space="preserve">Santhanam et al.</t>
  </si>
  <si>
    <t xml:space="preserve">https://arxiv.org/abs/2112.01488</t>
  </si>
  <si>
    <t xml:space="preserve">Residual compression for late interaction.</t>
  </si>
  <si>
    <t xml:space="preserve">ColBERT; residual quantization.</t>
  </si>
  <si>
    <t xml:space="preserve">Sigmoid Loss for Language Image Pre-Training (SigLIP)</t>
  </si>
  <si>
    <t xml:space="preserve">Zhai, Mustafa, Kolesnikov, Beyer</t>
  </si>
  <si>
    <t xml:space="preserve">https://arxiv.org/abs/2303.15343</t>
  </si>
  <si>
    <t xml:space="preserve">Sigmoid vs softmax contrastive loss.</t>
  </si>
  <si>
    <t xml:space="preserve">CLIP.</t>
  </si>
  <si>
    <t xml:space="preserve">FlashAttention-2</t>
  </si>
  <si>
    <t xml:space="preserve">Dao</t>
  </si>
  <si>
    <t xml:space="preserve">https://arxiv.org/abs/2307.08691</t>
  </si>
  <si>
    <t xml:space="preserve">Work partitioning improvements; basis of CS336 A2.</t>
  </si>
  <si>
    <t xml:space="preserve">FlashAttention; GPU warps/thread blocks.</t>
  </si>
  <si>
    <t xml:space="preserve">Triton FA2 (CS336 A2).</t>
  </si>
  <si>
    <t xml:space="preserve">Generalized Advantage Estimation</t>
  </si>
  <si>
    <t xml:space="preserve">Schulman, Moritz, Levine, Jordan, Abbeel</t>
  </si>
  <si>
    <t xml:space="preserve">https://arxiv.org/abs/1506.02438</t>
  </si>
  <si>
    <t xml:space="preserve">Variance reduction for policy gradients.</t>
  </si>
  <si>
    <t xml:space="preserve">Value functions; TD(lambda).</t>
  </si>
  <si>
    <t xml:space="preserve">GAE in a PPO trainer.</t>
  </si>
  <si>
    <t xml:space="preserve">DeepSeek-V3 Technical Report</t>
  </si>
  <si>
    <t xml:space="preserve">https://arxiv.org/abs/2412.19437</t>
  </si>
  <si>
    <t xml:space="preserve">MLA, auxiliary-loss-free MoE balancing, FP8 training, MTP - a frontier training systems case study.</t>
  </si>
  <si>
    <t xml:space="preserve">MoE, MLA, FP8, pipeline parallelism.</t>
  </si>
  <si>
    <t xml:space="preserve">Kind</t>
  </si>
  <si>
    <t xml:space="preserve">By / channel</t>
  </si>
  <si>
    <t xml:space="preserve">Duration</t>
  </si>
  <si>
    <t xml:space="preserve">Week(s)</t>
  </si>
  <si>
    <t xml:space="preserve">Why / notes</t>
  </si>
  <si>
    <t xml:space="preserve">PRIMARY</t>
  </si>
  <si>
    <t xml:space="preserve">Understanding Deep Learning (Prince), ch. 5-9 - targeted revision</t>
  </si>
  <si>
    <t xml:space="preserve">CS336 2026 Lecture 2 trace - PyTorch, einops, resource accounting</t>
  </si>
  <si>
    <t xml:space="preserve">Concept note: attention &amp; transformer shapes</t>
  </si>
  <si>
    <t xml:space="preserve">W1, W2</t>
  </si>
  <si>
    <t xml:space="preserve">The Illustrated Transformer (Alammar)</t>
  </si>
  <si>
    <t xml:space="preserve">SECONDARY</t>
  </si>
  <si>
    <t xml:space="preserve">The Matrix Calculus You Need for Deep Learning</t>
  </si>
  <si>
    <t xml:space="preserve">The Annotated Transformer</t>
  </si>
  <si>
    <t xml:space="preserve">REFERENCE</t>
  </si>
  <si>
    <t xml:space="preserve">How to Read a Paper (Keshav)</t>
  </si>
  <si>
    <t xml:space="preserve">VIDEO</t>
  </si>
  <si>
    <t xml:space="preserve">Building makemore Part 4: Becoming a Backprop Ninja</t>
  </si>
  <si>
    <t xml:space="preserve">Andrej Karpathy</t>
  </si>
  <si>
    <t xml:space="preserve">1h55m</t>
  </si>
  <si>
    <t xml:space="preserve">Only if the diagnostic shows you can't write a manual backward pass; the best drill for gradient flow. (P0 backprop)</t>
  </si>
  <si>
    <t xml:space="preserve">Transformers, the tech behind LLMs | DL5</t>
  </si>
  <si>
    <t xml:space="preserve">3Blue1Brown</t>
  </si>
  <si>
    <t xml:space="preserve">27m</t>
  </si>
  <si>
    <t xml:space="preserve">https://www.youtube.com/watch?v=wjZofJX0v4M</t>
  </si>
  <si>
    <t xml:space="preserve">Geometric intuition for embeddings and next-token prediction before any equations. (P1 intuition)</t>
  </si>
  <si>
    <t xml:space="preserve">Attention in transformers, step-by-step | DL6</t>
  </si>
  <si>
    <t xml:space="preserve">26m</t>
  </si>
  <si>
    <t xml:space="preserve">Clearest visual explanation of Q, K, V and why masking exists. (P1 attention)</t>
  </si>
  <si>
    <t xml:space="preserve">Let's build GPT (Karpathy) - code along</t>
  </si>
  <si>
    <t xml:space="preserve">1h56m</t>
  </si>
  <si>
    <t xml:space="preserve">Fastest route from bigram model to a working decoder block; you will diverge from it with modern components. (P1 implementation)</t>
  </si>
  <si>
    <t xml:space="preserve">CS336 2026 Lecture 3 - Architectures &amp; hyperparameters (slides)</t>
  </si>
  <si>
    <t xml:space="preserve">https://github.com/stanford-cs336/lectures/blob/main/lecture_03.pdf</t>
  </si>
  <si>
    <t xml:space="preserve">The Big LLM Architecture Comparison (Raschka, updated 2026)</t>
  </si>
  <si>
    <t xml:space="preserve">Build a Large Language Model (From Scratch) code</t>
  </si>
  <si>
    <t xml:space="preserve">https://github.com/rasbt/LLMs-from-scratch</t>
  </si>
  <si>
    <t xml:space="preserve">Stanford CS336 Spring 2026 - Lecture 3: Architectures</t>
  </si>
  <si>
    <t xml:space="preserve">Tatsu Hashimoto (Stanford)</t>
  </si>
  <si>
    <t xml:space="preserve">~1h20m</t>
  </si>
  <si>
    <t xml:space="preserve">Evidence-based survey of pre-norm, RMSNorm, SwiGLU, RoPE, GQA and hyperparameter conventions across real LLMs. (P1 architecture)</t>
  </si>
  <si>
    <t xml:space="preserve">LLaMA explained: KV-Cache, RoPE, RMS Norm, GQA, SwiGLU</t>
  </si>
  <si>
    <t xml:space="preserve">Umar Jamil</t>
  </si>
  <si>
    <t xml:space="preserve">~1h10m</t>
  </si>
  <si>
    <t xml:space="preserve">Best derivation-level explanation of RoPE and GQA with code. (P1 RoPE/GQA)</t>
  </si>
  <si>
    <t xml:space="preserve">CS336 Assignment 1 (Basics) - handout + tests are the spec</t>
  </si>
  <si>
    <t xml:space="preserve">Let's build the GPT Tokenizer (Karpathy) + minbpe</t>
  </si>
  <si>
    <t xml:space="preserve">2h13m</t>
  </si>
  <si>
    <t xml:space="preserve">Explains byte-level BPE, regex pre-tokenization, special tokens and the weird failures tokenization causes. (P2 tokenization)</t>
  </si>
  <si>
    <t xml:space="preserve">Concept note: prompt -&gt; next token (loss, perplexity sections)</t>
  </si>
  <si>
    <t xml:space="preserve">W3, W4</t>
  </si>
  <si>
    <t xml:space="preserve">minbpe reference implementation</t>
  </si>
  <si>
    <t xml:space="preserve">https://github.com/karpathy/minbpe</t>
  </si>
  <si>
    <t xml:space="preserve">nanoGPT reference</t>
  </si>
  <si>
    <t xml:space="preserve">https://github.com/karpathy/nanoGPT</t>
  </si>
  <si>
    <t xml:space="preserve">A Recipe for Training Neural Networks (Karpathy)</t>
  </si>
  <si>
    <t xml:space="preserve">http://karpathy.github.io/2019/04/25/recipe/</t>
  </si>
  <si>
    <t xml:space="preserve">Stanford CS336 Spring 2026 - Lecture 1: Overview, Tokenization</t>
  </si>
  <si>
    <t xml:space="preserve">Percy Liang (Stanford)</t>
  </si>
  <si>
    <t xml:space="preserve">Frames the whole LM pipeline and the tokenizer design space used in A1. (P2 tokenization)</t>
  </si>
  <si>
    <t xml:space="preserve">CS336 2026 Lecture 10 trace - Inference</t>
  </si>
  <si>
    <t xml:space="preserve">CS336 2026 Lecture 9 slides - Scaling laws</t>
  </si>
  <si>
    <t xml:space="preserve">https://github.com/stanford-cs336/lectures/blob/main/lecture_09.pdf</t>
  </si>
  <si>
    <t xml:space="preserve">CS336 2026 Lecture 4 slides - Attention alternatives &amp; MoE</t>
  </si>
  <si>
    <t xml:space="preserve">https://github.com/stanford-cs336/lectures/blob/main/lecture_04.pdf</t>
  </si>
  <si>
    <t xml:space="preserve">Transformer Inference Arithmetic (kipply)</t>
  </si>
  <si>
    <t xml:space="preserve">A Visual Guide to Mixture of Experts (Grootendorst)</t>
  </si>
  <si>
    <t xml:space="preserve">LLM Visualization (Bycroft) - 3D walk through one token</t>
  </si>
  <si>
    <t xml:space="preserve">https://bbycroft.net/llm</t>
  </si>
  <si>
    <t xml:space="preserve">CS336 2026 playlist (lectures 4, 9, 10, 11)</t>
  </si>
  <si>
    <t xml:space="preserve">Liang / Hashimoto (Stanford)</t>
  </si>
  <si>
    <t xml:space="preserve">~1h20m each</t>
  </si>
  <si>
    <t xml:space="preserve">https://www.youtube.com/playlist?list=PLoROMvodv4rMqXOcazWaTUHhq-yembLCV</t>
  </si>
  <si>
    <t xml:space="preserve">W4, W7, W8, W9, W12</t>
  </si>
  <si>
    <t xml:space="preserve">Collective communication and DP/TP/PP trade-offs with real numbers. (P11 distributed)</t>
  </si>
  <si>
    <t xml:space="preserve">Stanford CS229: Building Large Language Models (LLMs)</t>
  </si>
  <si>
    <t xml:space="preserve">Yann Dubois (Stanford)</t>
  </si>
  <si>
    <t xml:space="preserve">~1h44m</t>
  </si>
  <si>
    <t xml:space="preserve">https://www.youtube.com/watch?v=9vM4p9NN0Ts</t>
  </si>
  <si>
    <t xml:space="preserve">Optional single-sitting overview tying pretraining, scaling laws, evaluation and post-training together. (P2 overview)</t>
  </si>
  <si>
    <t xml:space="preserve">Concept note: retrieval &amp; vector search</t>
  </si>
  <si>
    <t xml:space="preserve">Introduction to Information Retrieval - ch. 6 &amp; 11.4.3 (BM25)</t>
  </si>
  <si>
    <t xml:space="preserve">Faiss: The Missing Manual (Pinecone) - indexes, PQ, HNSW chapters</t>
  </si>
  <si>
    <t xml:space="preserve">bm25s (fast reference BM25)</t>
  </si>
  <si>
    <t xml:space="preserve">The Faiss library paper</t>
  </si>
  <si>
    <t xml:space="preserve">pgvector</t>
  </si>
  <si>
    <t xml:space="preserve">https://github.com/pgvector/pgvector</t>
  </si>
  <si>
    <t xml:space="preserve">Qdrant docs</t>
  </si>
  <si>
    <t xml:space="preserve">https://qdrant.tech/documentation/</t>
  </si>
  <si>
    <t xml:space="preserve">Sentence-Transformers docs</t>
  </si>
  <si>
    <t xml:space="preserve">HNSW for Vector Search Explained and Implemented with Faiss</t>
  </si>
  <si>
    <t xml:space="preserve">James Briggs</t>
  </si>
  <si>
    <t xml:space="preserve">~35m</t>
  </si>
  <si>
    <t xml:space="preserve">Visual walk-through of the HNSW layers and parameters before you read the paper. (P3 ANN)</t>
  </si>
  <si>
    <t xml:space="preserve">RAG paper (Lewis et al.)</t>
  </si>
  <si>
    <t xml:space="preserve">Beyond the Basics of RAG (Clavie) - notes page</t>
  </si>
  <si>
    <t xml:space="preserve">https://parlance-labs.com/education/rag/ben.html</t>
  </si>
  <si>
    <t xml:space="preserve">Introducing Contextual Retrieval (Anthropic)</t>
  </si>
  <si>
    <t xml:space="preserve">Docling docs (document parsing)</t>
  </si>
  <si>
    <t xml:space="preserve">Concept note: RAG &amp; evaluation metrics</t>
  </si>
  <si>
    <t xml:space="preserve">W6, W7</t>
  </si>
  <si>
    <t xml:space="preserve">BGE-M3 paper</t>
  </si>
  <si>
    <t xml:space="preserve">ColBERT paper</t>
  </si>
  <si>
    <t xml:space="preserve">Stanford CS25: V3 - Retrieval Augmented Language Models</t>
  </si>
  <si>
    <t xml:space="preserve">Douwe Kiela (Stanford CS25)</t>
  </si>
  <si>
    <t xml:space="preserve">1h19m</t>
  </si>
  <si>
    <t xml:space="preserve">Research-level map of RAG: retriever/generator training, architectures, open problems. (P4 foundations)</t>
  </si>
  <si>
    <t xml:space="preserve">Beyond the Basics of Retrieval for Augmenting Generation</t>
  </si>
  <si>
    <t xml:space="preserve">Ben Clavie (Answer.AI)</t>
  </si>
  <si>
    <t xml:space="preserve">~1h</t>
  </si>
  <si>
    <t xml:space="preserve">Practitioner's 'MVP++': BM25 + bi-encoder + reranker + metadata filters, and how to evaluate. (P4 advanced retrieval)</t>
  </si>
  <si>
    <t xml:space="preserve">Your AI Product Needs Evals (Husain)</t>
  </si>
  <si>
    <t xml:space="preserve">Using LLM-as-a-Judge: A Complete Guide (Husain)</t>
  </si>
  <si>
    <t xml:space="preserve">Demystifying evals for AI agents (Anthropic)</t>
  </si>
  <si>
    <t xml:space="preserve">W7, W13</t>
  </si>
  <si>
    <t xml:space="preserve">Evaluating the Effectiveness of LLM-Evaluators (Eugene Yan)</t>
  </si>
  <si>
    <t xml:space="preserve">https://eugeneyan.com/writing/llm-evaluators/</t>
  </si>
  <si>
    <t xml:space="preserve">LLM Evaluation Guidebook (Hugging Face)</t>
  </si>
  <si>
    <t xml:space="preserve">https://huggingface.co/spaces/OpenEvals/evaluation-guidebook</t>
  </si>
  <si>
    <t xml:space="preserve">CS336 2026 Lecture 12 trace - Evaluation</t>
  </si>
  <si>
    <t xml:space="preserve">Ragas metric definitions</t>
  </si>
  <si>
    <t xml:space="preserve">Inspect (UK AISI) eval framework</t>
  </si>
  <si>
    <t xml:space="preserve">lm-evaluation-harness</t>
  </si>
  <si>
    <t xml:space="preserve">https://github.com/EleutherAI/lm-evaluation-harness</t>
  </si>
  <si>
    <t xml:space="preserve">Hugging Face LLM Course ch. 11 - Supervised fine-tuning</t>
  </si>
  <si>
    <t xml:space="preserve">https://huggingface.co/learn/llm-course/chapter11/1</t>
  </si>
  <si>
    <t xml:space="preserve">CS336 2026 Lecture 15 slides - Mid/post-training (SFT/RLHF)</t>
  </si>
  <si>
    <t xml:space="preserve">LoRA Without Regret (Thinking Machines)</t>
  </si>
  <si>
    <t xml:space="preserve">Concept note: post-training math</t>
  </si>
  <si>
    <t xml:space="preserve">https://github.com/anshu8830/anshu/blob/main/curriculum/concepts/05-post-training-math.md</t>
  </si>
  <si>
    <t xml:space="preserve">W8, W9</t>
  </si>
  <si>
    <t xml:space="preserve">Transformers chat templates docs</t>
  </si>
  <si>
    <t xml:space="preserve">TRL SFTTrainer docs</t>
  </si>
  <si>
    <t xml:space="preserve">Unsloth fine-tuning guide</t>
  </si>
  <si>
    <t xml:space="preserve">smol-course</t>
  </si>
  <si>
    <t xml:space="preserve">A Visual Guide to Quantization (Grootendorst)</t>
  </si>
  <si>
    <t xml:space="preserve">W8, W11</t>
  </si>
  <si>
    <t xml:space="preserve">TRL: LoRA without regret recipe</t>
  </si>
  <si>
    <t xml:space="preserve">https://huggingface.co/docs/trl/en/lora_without_regret</t>
  </si>
  <si>
    <t xml:space="preserve">OpenAI Spinning Up - Parts 1 and 3</t>
  </si>
  <si>
    <t xml:space="preserve">https://spinningup.openai.com/en/latest/</t>
  </si>
  <si>
    <t xml:space="preserve">RLHF Book (Lambert)</t>
  </si>
  <si>
    <t xml:space="preserve">CS336 2026 Lecture 16 slides - Post-training: RLVR</t>
  </si>
  <si>
    <t xml:space="preserve">https://github.com/stanford-cs336/lectures/blob/main/lecture_16.pdf</t>
  </si>
  <si>
    <t xml:space="preserve">HF LLM Course ch. 12 - Build reasoning models (GRPO)</t>
  </si>
  <si>
    <t xml:space="preserve">https://huggingface.co/learn/llm-course/chapter12</t>
  </si>
  <si>
    <t xml:space="preserve">Build a Reasoning Model (From Scratch) code</t>
  </si>
  <si>
    <t xml:space="preserve">https://github.com/rasbt/reasoning-from-scratch</t>
  </si>
  <si>
    <t xml:space="preserve">Why We Think (Weng)</t>
  </si>
  <si>
    <t xml:space="preserve">https://lilianweng.github.io/posts/2025-05-01-thinking/</t>
  </si>
  <si>
    <t xml:space="preserve">Reward Hacking in RL (Weng)</t>
  </si>
  <si>
    <t xml:space="preserve">CS336 Assignment 5 (GRPO on OLMo-2 1B) - full version deferred to 2027</t>
  </si>
  <si>
    <t xml:space="preserve">https://github.com/stanford-cs336/assignment5-alignment</t>
  </si>
  <si>
    <t xml:space="preserve">L3 Policy Gradients and Advantage Estimation (Foundations of Deep RL)</t>
  </si>
  <si>
    <t xml:space="preserve">Pieter Abbeel</t>
  </si>
  <si>
    <t xml:space="preserve">Compact, rigorous policy-gradient derivation; watch L4 (TRPO/PPO) from the same playlist next. (P12 policy gradients)</t>
  </si>
  <si>
    <t xml:space="preserve">Reinforcement Learning from Human Feedback explained with math derivations and the PyTorch code</t>
  </si>
  <si>
    <t xml:space="preserve">~2h</t>
  </si>
  <si>
    <t xml:space="preserve">Walks from policy gradients to PPO-based RLHF with code; watch the PPO + RLHF sections. (P12 RLHF/PPO)</t>
  </si>
  <si>
    <t xml:space="preserve">Direct Preference Optimization (DPO) explained: Bradley-Terry model, log probabilities, math</t>
  </si>
  <si>
    <t xml:space="preserve">~50m</t>
  </si>
  <si>
    <t xml:space="preserve">Line-by-line derivation of the DPO loss. (P6 DPO)</t>
  </si>
  <si>
    <t xml:space="preserve">Building effective agents (Anthropic)</t>
  </si>
  <si>
    <t xml:space="preserve">Effective context engineering for AI agents (Anthropic)</t>
  </si>
  <si>
    <t xml:space="preserve">W10, W13</t>
  </si>
  <si>
    <t xml:space="preserve">MCP specification 2026-07-28 (current)</t>
  </si>
  <si>
    <t xml:space="preserve">MCP 2026-07-28 release notes (what changed: stateless core, deprecations)</t>
  </si>
  <si>
    <t xml:space="preserve">https://blog.modelcontextprotocol.io/posts/2026-07-28/</t>
  </si>
  <si>
    <t xml:space="preserve">Writing effective tools for agents (Anthropic)</t>
  </si>
  <si>
    <t xml:space="preserve">How we built our multi-agent research system (Anthropic)</t>
  </si>
  <si>
    <t xml:space="preserve">https://www.anthropic.com/engineering/multi-agent-research-system</t>
  </si>
  <si>
    <t xml:space="preserve">LLM Powered Autonomous Agents (Weng)</t>
  </si>
  <si>
    <t xml:space="preserve">https://lilianweng.github.io/posts/2023-06-23-agent/</t>
  </si>
  <si>
    <t xml:space="preserve">LangChain Academy - Introduction to LangGraph (free)</t>
  </si>
  <si>
    <t xml:space="preserve">Hugging Face MCP Course</t>
  </si>
  <si>
    <t xml:space="preserve">Hugging Face Agents Course</t>
  </si>
  <si>
    <t xml:space="preserve">https://huggingface.co/learn/agents-course/en/unit0/introduction</t>
  </si>
  <si>
    <t xml:space="preserve">LangGraph docs</t>
  </si>
  <si>
    <t xml:space="preserve">LangChain middleware docs</t>
  </si>
  <si>
    <t xml:space="preserve">LangChain create_agent reference</t>
  </si>
  <si>
    <t xml:space="preserve">https://reference.langchain.com/python/langchain/agents/factory/create_agent</t>
  </si>
  <si>
    <t xml:space="preserve">LangSmith evaluation docs</t>
  </si>
  <si>
    <t xml:space="preserve">https://docs.langchain.com/langsmith/evaluation</t>
  </si>
  <si>
    <t xml:space="preserve">HF Agents Course - LangGraph unit</t>
  </si>
  <si>
    <t xml:space="preserve">https://huggingface.co/learn/agents-course/unit2/langgraph/introduction</t>
  </si>
  <si>
    <t xml:space="preserve">OpenAI Agents SDK docs</t>
  </si>
  <si>
    <t xml:space="preserve">LlamaIndex Workflows docs</t>
  </si>
  <si>
    <t xml:space="preserve">https://developers.llamaindex.ai/python/framework/module_guides/workflow/</t>
  </si>
  <si>
    <t xml:space="preserve">smolagents docs</t>
  </si>
  <si>
    <t xml:space="preserve">https://huggingface.co/docs/smolagents</t>
  </si>
  <si>
    <t xml:space="preserve">OWASP Top 10 for LLM apps</t>
  </si>
  <si>
    <t xml:space="preserve">The lethal trifecta (Willison)</t>
  </si>
  <si>
    <t xml:space="preserve">mini-swe-agent (100-line reference agent)</t>
  </si>
  <si>
    <t xml:space="preserve">How We Build Effective Agents</t>
  </si>
  <si>
    <t xml:space="preserve">Barry Zhang (Anthropic) - AI Engineer Summit</t>
  </si>
  <si>
    <t xml:space="preserve">~15m</t>
  </si>
  <si>
    <t xml:space="preserve">https://www.youtube.com/watch?v=D7_ipDqhtwk</t>
  </si>
  <si>
    <t xml:space="preserve">Three principles: don't build agents for everything, keep them simple, think like your agent. (P7 design)</t>
  </si>
  <si>
    <t xml:space="preserve">Modal GPU Glossary</t>
  </si>
  <si>
    <t xml:space="preserve">How to Scale Your Model - All About Rooflines (Google DeepMind)</t>
  </si>
  <si>
    <t xml:space="preserve">Making Deep Learning Go Brrrr (Horace He)</t>
  </si>
  <si>
    <t xml:space="preserve">Inside vLLM: Anatomy of a High-Throughput Inference System (Gordic)</t>
  </si>
  <si>
    <t xml:space="preserve">Concept note: GPU &amp; inference math</t>
  </si>
  <si>
    <t xml:space="preserve">https://github.com/anshu8830/anshu/blob/main/curriculum/concepts/06-gpu-and-inference-math.md</t>
  </si>
  <si>
    <t xml:space="preserve">CS336 2026 Lecture 5 slides - GPUs/TPUs</t>
  </si>
  <si>
    <t xml:space="preserve">https://github.com/stanford-cs336/lectures/blob/main/lecture_05.pdf</t>
  </si>
  <si>
    <t xml:space="preserve">CS336 2026 Lecture 6 trace - Kernels, Triton</t>
  </si>
  <si>
    <t xml:space="preserve">Triton tutorials</t>
  </si>
  <si>
    <t xml:space="preserve">https://triton-lang.org/main/getting-started/tutorials/</t>
  </si>
  <si>
    <t xml:space="preserve">vLLM docs - automatic prefix caching</t>
  </si>
  <si>
    <t xml:space="preserve">https://docs.vllm.ai/en/stable/design/prefix_caching/</t>
  </si>
  <si>
    <t xml:space="preserve">TensorRT-LLM docs</t>
  </si>
  <si>
    <t xml:space="preserve">GPU MODE lectures (code + slides)</t>
  </si>
  <si>
    <t xml:space="preserve">https://github.com/gpu-mode/lectures</t>
  </si>
  <si>
    <t xml:space="preserve">FlashAttention - Tri Dao | Stanford MLSys #67</t>
  </si>
  <si>
    <t xml:space="preserve">Tri Dao (Stanford MLSys Seminar)</t>
  </si>
  <si>
    <t xml:space="preserve">The author explains IO-awareness, tiling and recomputation. (P9 FlashAttention)</t>
  </si>
  <si>
    <t xml:space="preserve">Fast LLM Serving with vLLM and PagedAttention</t>
  </si>
  <si>
    <t xml:space="preserve">vLLM authors (Woosuk Kwon, Zhuohan Li)</t>
  </si>
  <si>
    <t xml:space="preserve">~30-40m</t>
  </si>
  <si>
    <t xml:space="preserve">https://www.youtube.com/watch?v=Oq2SN7uutbQ</t>
  </si>
  <si>
    <t xml:space="preserve">Why KV-cache fragmentation limits batch size and how paging fixes it. (P9 serving)</t>
  </si>
  <si>
    <t xml:space="preserve">Speculative Decoding: When Two LLMs are Faster than One</t>
  </si>
  <si>
    <t xml:space="preserve">Efficient NLP</t>
  </si>
  <si>
    <t xml:space="preserve">~12m</t>
  </si>
  <si>
    <t xml:space="preserve">Short, precise explanation of the acceptance rule. (P9 speculative decoding)</t>
  </si>
  <si>
    <t xml:space="preserve">Flash Attention derived and coded from first principles with Triton (Python)</t>
  </si>
  <si>
    <t xml:space="preserve">~7h</t>
  </si>
  <si>
    <t xml:space="preserve">https://www.youtube.com/watch?v=zy8ChVd_oTM</t>
  </si>
  <si>
    <t xml:space="preserve">Optional deep dive (2027 track): derive and write FA in Triton, incl. backward pass. (P9 kernels (stretch))</t>
  </si>
  <si>
    <t xml:space="preserve">The Ultra-Scale Playbook (Hugging Face)</t>
  </si>
  <si>
    <t xml:space="preserve">Understanding Multimodal LLMs (Raschka)</t>
  </si>
  <si>
    <t xml:space="preserve">Vision Language Models (Better, faster, stronger) - HF 2025</t>
  </si>
  <si>
    <t xml:space="preserve">nanoVLM (repo + blog)</t>
  </si>
  <si>
    <t xml:space="preserve">CS336 2026 Lecture 7 trace + Lecture 8 slides - Parallelism</t>
  </si>
  <si>
    <t xml:space="preserve">https://cs336.stanford.edu/lectures/?trace=lecture_07</t>
  </si>
  <si>
    <t xml:space="preserve">CS336 2026 Lectures 13-14 traces - Data</t>
  </si>
  <si>
    <t xml:space="preserve">https://cs336.stanford.edu/lectures/?trace=lecture_14</t>
  </si>
  <si>
    <t xml:space="preserve">picotron (4D parallelism in &lt;300 lines/file)</t>
  </si>
  <si>
    <t xml:space="preserve">HF Computer Vision Course - CLIP unit</t>
  </si>
  <si>
    <t xml:space="preserve">ColPali blog</t>
  </si>
  <si>
    <t xml:space="preserve">https://huggingface.co/blog/manu/colpali</t>
  </si>
  <si>
    <t xml:space="preserve">The Smol Training Playbook</t>
  </si>
  <si>
    <t xml:space="preserve">https://huggingface.co/spaces/HuggingFaceTB/smol-training-playbook</t>
  </si>
  <si>
    <t xml:space="preserve">ML Engineering Open Book (Bekman)</t>
  </si>
  <si>
    <t xml:space="preserve">https://github.com/stas00/ml-engineering</t>
  </si>
  <si>
    <t xml:space="preserve">HF Audio Course - TTS unit</t>
  </si>
  <si>
    <t xml:space="preserve">https://huggingface.co/learn/audio-course/en/chapter6/introduction</t>
  </si>
  <si>
    <t xml:space="preserve">CS336 2026 Lecture 17 trace - multimodality</t>
  </si>
  <si>
    <t xml:space="preserve">https://cs336.stanford.edu/lectures/?trace=lecture_17</t>
  </si>
  <si>
    <t xml:space="preserve">Coding a Multimodal (Vision) Language Model from scratch in PyTorch</t>
  </si>
  <si>
    <t xml:space="preserve">~5h45m</t>
  </si>
  <si>
    <t xml:space="preserve">https://www.youtube.com/watch?v=vAmKB7iPkWw</t>
  </si>
  <si>
    <t xml:space="preserve">Watch the SigLIP encoder, projector and token-merging sections (~2h) - exactly how images become LM tokens. (P10 VLMs)</t>
  </si>
  <si>
    <t xml:space="preserve">Capstone spec in this repo</t>
  </si>
  <si>
    <t xml:space="preserve">W13, W14</t>
  </si>
  <si>
    <t xml:space="preserve">Aider repository map (tree-sitter + graph ranking)</t>
  </si>
  <si>
    <t xml:space="preserve">SWE-bench harness</t>
  </si>
  <si>
    <t xml:space="preserve">RouteLLM paper</t>
  </si>
  <si>
    <t xml:space="preserve">SWE-bench leaderboards</t>
  </si>
  <si>
    <t xml:space="preserve">https://www.swebench.com/</t>
  </si>
  <si>
    <t xml:space="preserve">2027 continuation plan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</si>
</sst>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0.0%"/>
    <numFmt numFmtId="168" formatCode="0.0"/>
    <numFmt numFmtId="169" formatCode="\+0;\-0;0"/>
    <numFmt numFmtId="170" formatCode="0%"/>
    <numFmt numFmtId="171" formatCode="dd\ mmm"/>
    <numFmt numFmtId="172" formatCode="ddd\ dd\ 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4"/>
      <color rgb="FF0000FF"/>
      <name val="Arial"/>
      <family val="0"/>
      <charset val="1"/>
    </font>
    <font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DEEAF6"/>
      </patternFill>
    </fill>
    <fill>
      <patternFill patternType="solid">
        <fgColor rgb="FFFFF2CC"/>
        <bgColor rgb="FFEDEDED"/>
      </patternFill>
    </fill>
    <fill>
      <patternFill patternType="solid">
        <fgColor rgb="FFDEEAF6"/>
        <bgColor rgb="FFEDEDED"/>
      </patternFill>
    </fill>
    <fill>
      <patternFill patternType="solid">
        <fgColor rgb="FFEDEDED"/>
        <bgColor rgb="FFF2F5FA"/>
      </patternFill>
    </fill>
    <fill>
      <patternFill patternType="solid">
        <fgColor rgb="FFF2F5F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 diagonalUp="false" diagonalDown="false"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EAD3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6"/>
      <rgbColor rgb="FF660066"/>
      <rgbColor rgb="FFFF8080"/>
      <rgbColor rgb="FF0563C1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D9EAD3"/>
      <rgbColor rgb="FFEDED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ytorch.org/get-started/locally/" TargetMode="External"/><Relationship Id="rId2" Type="http://schemas.openxmlformats.org/officeDocument/2006/relationships/hyperlink" Target="https://github.com/anshu8830/anshu/blob/main/curriculum/08-skill-checkpoints.md" TargetMode="External"/><Relationship Id="rId3" Type="http://schemas.openxmlformats.org/officeDocument/2006/relationships/hyperlink" Target="https://udlbook.github.io/udlbook/" TargetMode="External"/><Relationship Id="rId4" Type="http://schemas.openxmlformats.org/officeDocument/2006/relationships/hyperlink" Target="https://www.youtube.com/watch?v=q8SA3rM6ckI" TargetMode="External"/><Relationship Id="rId5" Type="http://schemas.openxmlformats.org/officeDocument/2006/relationships/hyperlink" Target="https://explained.ai/matrix-calculus/" TargetMode="External"/><Relationship Id="rId6" Type="http://schemas.openxmlformats.org/officeDocument/2006/relationships/hyperlink" Target="https://cs336.stanford.edu/lectures/?trace=lecture_02" TargetMode="External"/><Relationship Id="rId7" Type="http://schemas.openxmlformats.org/officeDocument/2006/relationships/hyperlink" Target="https://udlbook.github.io/udlbook/" TargetMode="External"/><Relationship Id="rId8" Type="http://schemas.openxmlformats.org/officeDocument/2006/relationships/hyperlink" Target="https://udlbook.github.io/udlbook/" TargetMode="External"/><Relationship Id="rId9" Type="http://schemas.openxmlformats.org/officeDocument/2006/relationships/hyperlink" Target="https://www.youtube.com/watch?v=eMlx5fFNoYc" TargetMode="External"/><Relationship Id="rId10" Type="http://schemas.openxmlformats.org/officeDocument/2006/relationships/hyperlink" Target="https://jalammar.github.io/illustrated-transformer/" TargetMode="External"/><Relationship Id="rId11" Type="http://schemas.openxmlformats.org/officeDocument/2006/relationships/hyperlink" Target="https://arxiv.org/abs/1706.03762" TargetMode="External"/><Relationship Id="rId12" Type="http://schemas.openxmlformats.org/officeDocument/2006/relationships/hyperlink" Target="https://github.com/anshu8830/anshu/blob/main/curriculum/concepts/01-attention-and-transformer.md" TargetMode="External"/><Relationship Id="rId13" Type="http://schemas.openxmlformats.org/officeDocument/2006/relationships/hyperlink" Target="https://github.com/anshu8830/anshu/blob/main/curriculum/concepts/01-attention-and-transformer.md" TargetMode="External"/><Relationship Id="rId14" Type="http://schemas.openxmlformats.org/officeDocument/2006/relationships/hyperlink" Target="https://nlp.seas.harvard.edu/annotated-transformer/" TargetMode="External"/><Relationship Id="rId15" Type="http://schemas.openxmlformats.org/officeDocument/2006/relationships/hyperlink" Target="https://github.com/anshu8830/anshu/blob/main/curriculum/concepts/01-attention-and-transformer.md" TargetMode="External"/><Relationship Id="rId16" Type="http://schemas.openxmlformats.org/officeDocument/2006/relationships/hyperlink" Target="https://www.youtube.com/watch?v=kCc8FmEb1nY" TargetMode="External"/><Relationship Id="rId17" Type="http://schemas.openxmlformats.org/officeDocument/2006/relationships/hyperlink" Target="https://nlp.seas.harvard.edu/annotated-transformer/" TargetMode="External"/><Relationship Id="rId18" Type="http://schemas.openxmlformats.org/officeDocument/2006/relationships/hyperlink" Target="https://www.youtube.com/watch?v=lVynu4bo1rY" TargetMode="External"/><Relationship Id="rId19" Type="http://schemas.openxmlformats.org/officeDocument/2006/relationships/hyperlink" Target="https://magazine.sebastianraschka.com/p/the-big-llm-architecture-comparison" TargetMode="External"/><Relationship Id="rId20" Type="http://schemas.openxmlformats.org/officeDocument/2006/relationships/hyperlink" Target="https://arxiv.org/abs/2002.04745" TargetMode="External"/><Relationship Id="rId21" Type="http://schemas.openxmlformats.org/officeDocument/2006/relationships/hyperlink" Target="https://github.com/anshu8830/anshu/blob/main/curriculum/concepts/01-attention-and-transformer.md" TargetMode="External"/><Relationship Id="rId22" Type="http://schemas.openxmlformats.org/officeDocument/2006/relationships/hyperlink" Target="https://www.youtube.com/watch?v=Mn_9W1nCFLo" TargetMode="External"/><Relationship Id="rId23" Type="http://schemas.openxmlformats.org/officeDocument/2006/relationships/hyperlink" Target="https://arxiv.org/abs/2104.09864" TargetMode="External"/><Relationship Id="rId24" Type="http://schemas.openxmlformats.org/officeDocument/2006/relationships/hyperlink" Target="https://github.com/anshu8830/anshu/blob/main/curriculum/concepts/01-attention-and-transformer.md" TargetMode="External"/><Relationship Id="rId25" Type="http://schemas.openxmlformats.org/officeDocument/2006/relationships/hyperlink" Target="https://arxiv.org/abs/2305.13245" TargetMode="External"/><Relationship Id="rId26" Type="http://schemas.openxmlformats.org/officeDocument/2006/relationships/hyperlink" Target="https://github.com/anshu8830/anshu/blob/main/curriculum/concepts/01-attention-and-transformer.md" TargetMode="External"/><Relationship Id="rId27" Type="http://schemas.openxmlformats.org/officeDocument/2006/relationships/hyperlink" Target="https://nlp.seas.harvard.edu/annotated-transformer/" TargetMode="External"/><Relationship Id="rId28" Type="http://schemas.openxmlformats.org/officeDocument/2006/relationships/hyperlink" Target="https://arxiv.org/abs/1810.04805" TargetMode="External"/><Relationship Id="rId29" Type="http://schemas.openxmlformats.org/officeDocument/2006/relationships/hyperlink" Target="https://www.youtube.com/watch?v=zduSFxRajkE" TargetMode="External"/><Relationship Id="rId30" Type="http://schemas.openxmlformats.org/officeDocument/2006/relationships/hyperlink" Target="https://arxiv.org/abs/1508.07909" TargetMode="External"/><Relationship Id="rId31" Type="http://schemas.openxmlformats.org/officeDocument/2006/relationships/hyperlink" Target="https://www.youtube.com/watch?v=JuoVZkPBiKk" TargetMode="External"/><Relationship Id="rId32" Type="http://schemas.openxmlformats.org/officeDocument/2006/relationships/hyperlink" Target="https://github.com/stanford-cs336/assignment1-basics" TargetMode="External"/><Relationship Id="rId33" Type="http://schemas.openxmlformats.org/officeDocument/2006/relationships/hyperlink" Target="https://github.com/stanford-cs336/assignment1-basics" TargetMode="External"/><Relationship Id="rId34" Type="http://schemas.openxmlformats.org/officeDocument/2006/relationships/hyperlink" Target="https://arxiv.org/abs/1808.06226" TargetMode="External"/><Relationship Id="rId35" Type="http://schemas.openxmlformats.org/officeDocument/2006/relationships/hyperlink" Target="https://github.com/anshu8830/anshu/blob/main/curriculum/concepts/02-prompt-to-next-token.md" TargetMode="External"/><Relationship Id="rId36" Type="http://schemas.openxmlformats.org/officeDocument/2006/relationships/hyperlink" Target="https://github.com/stanford-cs336/assignment1-basics" TargetMode="External"/><Relationship Id="rId37" Type="http://schemas.openxmlformats.org/officeDocument/2006/relationships/hyperlink" Target="https://github.com/stanford-cs336/assignment1-basics" TargetMode="External"/><Relationship Id="rId38" Type="http://schemas.openxmlformats.org/officeDocument/2006/relationships/hyperlink" Target="https://arxiv.org/abs/1904.09751" TargetMode="External"/><Relationship Id="rId39" Type="http://schemas.openxmlformats.org/officeDocument/2006/relationships/hyperlink" Target="https://arxiv.org/abs/2002.04745" TargetMode="External"/><Relationship Id="rId40" Type="http://schemas.openxmlformats.org/officeDocument/2006/relationships/hyperlink" Target="https://github.com/anshu8830/anshu/blob/main/curriculum/concepts/02-prompt-to-next-token.md" TargetMode="External"/><Relationship Id="rId41" Type="http://schemas.openxmlformats.org/officeDocument/2006/relationships/hyperlink" Target="https://github.com/anshu8830/anshu/blob/main/curriculum/concepts/02-prompt-to-next-token.md" TargetMode="External"/><Relationship Id="rId42" Type="http://schemas.openxmlformats.org/officeDocument/2006/relationships/hyperlink" Target="https://arxiv.org/abs/1904.09751" TargetMode="External"/><Relationship Id="rId43" Type="http://schemas.openxmlformats.org/officeDocument/2006/relationships/hyperlink" Target="https://arxiv.org/abs/1904.09751" TargetMode="External"/><Relationship Id="rId44" Type="http://schemas.openxmlformats.org/officeDocument/2006/relationships/hyperlink" Target="https://cs336.stanford.edu/lectures/?trace=lecture_10" TargetMode="External"/><Relationship Id="rId45" Type="http://schemas.openxmlformats.org/officeDocument/2006/relationships/hyperlink" Target="https://kipply.github.io/blog/transformer-inference-arithmetic/" TargetMode="External"/><Relationship Id="rId46" Type="http://schemas.openxmlformats.org/officeDocument/2006/relationships/hyperlink" Target="https://github.com/anshu8830/anshu/blob/main/curriculum/concepts/02-prompt-to-next-token.md" TargetMode="External"/><Relationship Id="rId47" Type="http://schemas.openxmlformats.org/officeDocument/2006/relationships/hyperlink" Target="https://arxiv.org/abs/2203.15556" TargetMode="External"/><Relationship Id="rId48" Type="http://schemas.openxmlformats.org/officeDocument/2006/relationships/hyperlink" Target="https://arxiv.org/abs/2203.15556" TargetMode="External"/><Relationship Id="rId49" Type="http://schemas.openxmlformats.org/officeDocument/2006/relationships/hyperlink" Target="https://newsletter.maartengrootendorst.com/p/a-visual-guide-to-mixture-of-experts" TargetMode="External"/><Relationship Id="rId50" Type="http://schemas.openxmlformats.org/officeDocument/2006/relationships/hyperlink" Target="https://arxiv.org/abs/2101.03961" TargetMode="External"/><Relationship Id="rId51" Type="http://schemas.openxmlformats.org/officeDocument/2006/relationships/hyperlink" Target="https://arxiv.org/abs/2101.03961" TargetMode="External"/><Relationship Id="rId52" Type="http://schemas.openxmlformats.org/officeDocument/2006/relationships/hyperlink" Target="https://github.com/anshu8830/anshu/blob/main/curriculum/08-skill-checkpoints.md" TargetMode="External"/><Relationship Id="rId53" Type="http://schemas.openxmlformats.org/officeDocument/2006/relationships/hyperlink" Target="https://github.com/anshu8830/anshu/blob/main/curriculum/concepts/03-retrieval-and-vector-search.md" TargetMode="External"/><Relationship Id="rId54" Type="http://schemas.openxmlformats.org/officeDocument/2006/relationships/hyperlink" Target="https://sbert.net/" TargetMode="External"/><Relationship Id="rId55" Type="http://schemas.openxmlformats.org/officeDocument/2006/relationships/hyperlink" Target="https://nlp.stanford.edu/IR-book/html/htmledition/irbook.html" TargetMode="External"/><Relationship Id="rId56" Type="http://schemas.openxmlformats.org/officeDocument/2006/relationships/hyperlink" Target="https://github.com/xhluca/bm25s" TargetMode="External"/><Relationship Id="rId57" Type="http://schemas.openxmlformats.org/officeDocument/2006/relationships/hyperlink" Target="https://arxiv.org/abs/2104.08663" TargetMode="External"/><Relationship Id="rId58" Type="http://schemas.openxmlformats.org/officeDocument/2006/relationships/hyperlink" Target="https://arxiv.org/abs/2104.08663" TargetMode="External"/><Relationship Id="rId59" Type="http://schemas.openxmlformats.org/officeDocument/2006/relationships/hyperlink" Target="https://www.pinecone.io/learn/series/faiss/product-quantization/" TargetMode="External"/><Relationship Id="rId60" Type="http://schemas.openxmlformats.org/officeDocument/2006/relationships/hyperlink" Target="https://doi.org/10.1109/TPAMI.2010.57" TargetMode="External"/><Relationship Id="rId61" Type="http://schemas.openxmlformats.org/officeDocument/2006/relationships/hyperlink" Target="https://www.youtube.com/watch?v=QvKMwLjdK-s" TargetMode="External"/><Relationship Id="rId62" Type="http://schemas.openxmlformats.org/officeDocument/2006/relationships/hyperlink" Target="https://arxiv.org/abs/1603.09320" TargetMode="External"/><Relationship Id="rId63" Type="http://schemas.openxmlformats.org/officeDocument/2006/relationships/hyperlink" Target="https://www.pinecone.io/learn/series/faiss/" TargetMode="External"/><Relationship Id="rId64" Type="http://schemas.openxmlformats.org/officeDocument/2006/relationships/hyperlink" Target="https://github.com/anshu8830/anshu/blob/main/curriculum/concepts/03-retrieval-and-vector-search.md" TargetMode="External"/><Relationship Id="rId65" Type="http://schemas.openxmlformats.org/officeDocument/2006/relationships/hyperlink" Target="https://www.youtube.com/watch?v=mE7IDf2SmJg" TargetMode="External"/><Relationship Id="rId66" Type="http://schemas.openxmlformats.org/officeDocument/2006/relationships/hyperlink" Target="https://docling-project.github.io/docling/" TargetMode="External"/><Relationship Id="rId67" Type="http://schemas.openxmlformats.org/officeDocument/2006/relationships/hyperlink" Target="https://www.youtube.com/watch?v=0nA5QG3087g" TargetMode="External"/><Relationship Id="rId68" Type="http://schemas.openxmlformats.org/officeDocument/2006/relationships/hyperlink" Target="https://www.anthropic.com/news/contextual-retrieval" TargetMode="External"/><Relationship Id="rId69" Type="http://schemas.openxmlformats.org/officeDocument/2006/relationships/hyperlink" Target="https://arxiv.org/abs/2212.10496" TargetMode="External"/><Relationship Id="rId70" Type="http://schemas.openxmlformats.org/officeDocument/2006/relationships/hyperlink" Target="https://arxiv.org/abs/2212.10496" TargetMode="External"/><Relationship Id="rId71" Type="http://schemas.openxmlformats.org/officeDocument/2006/relationships/hyperlink" Target="https://arxiv.org/abs/2307.03172" TargetMode="External"/><Relationship Id="rId72" Type="http://schemas.openxmlformats.org/officeDocument/2006/relationships/hyperlink" Target="https://arxiv.org/abs/2004.12832" TargetMode="External"/><Relationship Id="rId73" Type="http://schemas.openxmlformats.org/officeDocument/2006/relationships/hyperlink" Target="https://arxiv.org/abs/2402.03216" TargetMode="External"/><Relationship Id="rId74" Type="http://schemas.openxmlformats.org/officeDocument/2006/relationships/hyperlink" Target="https://arxiv.org/abs/2404.16130" TargetMode="External"/><Relationship Id="rId75" Type="http://schemas.openxmlformats.org/officeDocument/2006/relationships/hyperlink" Target="https://arxiv.org/abs/2310.11511" TargetMode="External"/><Relationship Id="rId76" Type="http://schemas.openxmlformats.org/officeDocument/2006/relationships/hyperlink" Target="https://arxiv.org/abs/2005.11401" TargetMode="External"/><Relationship Id="rId77" Type="http://schemas.openxmlformats.org/officeDocument/2006/relationships/hyperlink" Target="https://developers.llamaindex.ai/python/framework/" TargetMode="External"/><Relationship Id="rId78" Type="http://schemas.openxmlformats.org/officeDocument/2006/relationships/hyperlink" Target="https://github.com/anshu8830/anshu/blob/main/curriculum/concepts/04-rag-and-evaluation-metrics.md" TargetMode="External"/><Relationship Id="rId79" Type="http://schemas.openxmlformats.org/officeDocument/2006/relationships/hyperlink" Target="https://hamel.dev/blog/posts/evals/" TargetMode="External"/><Relationship Id="rId80" Type="http://schemas.openxmlformats.org/officeDocument/2006/relationships/hyperlink" Target="https://hamel.dev/blog/posts/evals/" TargetMode="External"/><Relationship Id="rId81" Type="http://schemas.openxmlformats.org/officeDocument/2006/relationships/hyperlink" Target="https://arxiv.org/abs/2306.05685" TargetMode="External"/><Relationship Id="rId82" Type="http://schemas.openxmlformats.org/officeDocument/2006/relationships/hyperlink" Target="https://hamel.dev/blog/posts/llm-judge/" TargetMode="External"/><Relationship Id="rId83" Type="http://schemas.openxmlformats.org/officeDocument/2006/relationships/hyperlink" Target="https://arxiv.org/abs/2309.15217" TargetMode="External"/><Relationship Id="rId84" Type="http://schemas.openxmlformats.org/officeDocument/2006/relationships/hyperlink" Target="https://docs.ragas.io/en/stable/concepts/metrics/available_metrics/" TargetMode="External"/><Relationship Id="rId85" Type="http://schemas.openxmlformats.org/officeDocument/2006/relationships/hyperlink" Target="https://cs336.stanford.edu/lectures/?trace=lecture_12" TargetMode="External"/><Relationship Id="rId86" Type="http://schemas.openxmlformats.org/officeDocument/2006/relationships/hyperlink" Target="https://github.com/anshu8830/anshu/blob/main/curriculum/concepts/04-rag-and-evaluation-metrics.md" TargetMode="External"/><Relationship Id="rId87" Type="http://schemas.openxmlformats.org/officeDocument/2006/relationships/hyperlink" Target="https://inspect.aisi.org.uk/" TargetMode="External"/><Relationship Id="rId88" Type="http://schemas.openxmlformats.org/officeDocument/2006/relationships/hyperlink" Target="https://www.anthropic.com/engineering/demystifying-evals-for-ai-agents" TargetMode="External"/><Relationship Id="rId89" Type="http://schemas.openxmlformats.org/officeDocument/2006/relationships/hyperlink" Target="https://arxiv.org/abs/2406.12045" TargetMode="External"/><Relationship Id="rId90" Type="http://schemas.openxmlformats.org/officeDocument/2006/relationships/hyperlink" Target="https://hamel.dev/blog/posts/llm-judge/" TargetMode="External"/><Relationship Id="rId91" Type="http://schemas.openxmlformats.org/officeDocument/2006/relationships/hyperlink" Target="https://github.com/anshu8830/anshu/blob/main/curriculum/concepts/04-rag-and-evaluation-metrics.md" TargetMode="External"/><Relationship Id="rId92" Type="http://schemas.openxmlformats.org/officeDocument/2006/relationships/hyperlink" Target="https://github.com/stanford-cs336/lectures/blob/main/lecture_15.pdf" TargetMode="External"/><Relationship Id="rId93" Type="http://schemas.openxmlformats.org/officeDocument/2006/relationships/hyperlink" Target="https://huggingface.co/docs/transformers/chat_templating" TargetMode="External"/><Relationship Id="rId94" Type="http://schemas.openxmlformats.org/officeDocument/2006/relationships/hyperlink" Target="https://huggingface.co/docs/trl/sft_trainer" TargetMode="External"/><Relationship Id="rId95" Type="http://schemas.openxmlformats.org/officeDocument/2006/relationships/hyperlink" Target="https://arxiv.org/abs/2106.09685" TargetMode="External"/><Relationship Id="rId96" Type="http://schemas.openxmlformats.org/officeDocument/2006/relationships/hyperlink" Target="https://thinkingmachines.ai/blog/lora/" TargetMode="External"/><Relationship Id="rId97" Type="http://schemas.openxmlformats.org/officeDocument/2006/relationships/hyperlink" Target="https://arxiv.org/abs/2305.14314" TargetMode="External"/><Relationship Id="rId98" Type="http://schemas.openxmlformats.org/officeDocument/2006/relationships/hyperlink" Target="https://unsloth.ai/docs/get-started/fine-tuning-llms-guide" TargetMode="External"/><Relationship Id="rId99" Type="http://schemas.openxmlformats.org/officeDocument/2006/relationships/hyperlink" Target="https://github.com/huggingface/smol-course" TargetMode="External"/><Relationship Id="rId100" Type="http://schemas.openxmlformats.org/officeDocument/2006/relationships/hyperlink" Target="https://github.com/huggingface/smol-course" TargetMode="External"/><Relationship Id="rId101" Type="http://schemas.openxmlformats.org/officeDocument/2006/relationships/hyperlink" Target="https://thinkingmachines.ai/blog/lora/" TargetMode="External"/><Relationship Id="rId102" Type="http://schemas.openxmlformats.org/officeDocument/2006/relationships/hyperlink" Target="https://arxiv.org/abs/2106.09685" TargetMode="External"/><Relationship Id="rId103" Type="http://schemas.openxmlformats.org/officeDocument/2006/relationships/hyperlink" Target="https://spinningup.openai.com/en/latest/spinningup/rl_intro3.html" TargetMode="External"/><Relationship Id="rId104" Type="http://schemas.openxmlformats.org/officeDocument/2006/relationships/hyperlink" Target="https://www.youtube.com/watch?v=AKbX1Zvo7r8" TargetMode="External"/><Relationship Id="rId105" Type="http://schemas.openxmlformats.org/officeDocument/2006/relationships/hyperlink" Target="https://arxiv.org/abs/1707.06347" TargetMode="External"/><Relationship Id="rId106" Type="http://schemas.openxmlformats.org/officeDocument/2006/relationships/hyperlink" Target="https://www.youtube.com/watch?v=qGyFrqc34yc" TargetMode="External"/><Relationship Id="rId107" Type="http://schemas.openxmlformats.org/officeDocument/2006/relationships/hyperlink" Target="https://rlhfbook.com/" TargetMode="External"/><Relationship Id="rId108" Type="http://schemas.openxmlformats.org/officeDocument/2006/relationships/hyperlink" Target="https://www.youtube.com/watch?v=hvGa5Mba4c8" TargetMode="External"/><Relationship Id="rId109" Type="http://schemas.openxmlformats.org/officeDocument/2006/relationships/hyperlink" Target="https://arxiv.org/abs/2305.18290" TargetMode="External"/><Relationship Id="rId110" Type="http://schemas.openxmlformats.org/officeDocument/2006/relationships/hyperlink" Target="https://arxiv.org/abs/2402.03300" TargetMode="External"/><Relationship Id="rId111" Type="http://schemas.openxmlformats.org/officeDocument/2006/relationships/hyperlink" Target="https://lilianweng.github.io/posts/2024-11-28-reward-hacking/" TargetMode="External"/><Relationship Id="rId112" Type="http://schemas.openxmlformats.org/officeDocument/2006/relationships/hyperlink" Target="https://arxiv.org/abs/2503.20783" TargetMode="External"/><Relationship Id="rId113" Type="http://schemas.openxmlformats.org/officeDocument/2006/relationships/hyperlink" Target="https://huggingface.co/learn/llm-course/en/chapter12/4" TargetMode="External"/><Relationship Id="rId114" Type="http://schemas.openxmlformats.org/officeDocument/2006/relationships/hyperlink" Target="https://arxiv.org/abs/2503.20783" TargetMode="External"/><Relationship Id="rId115" Type="http://schemas.openxmlformats.org/officeDocument/2006/relationships/hyperlink" Target="https://arxiv.org/abs/2501.19393" TargetMode="External"/><Relationship Id="rId116" Type="http://schemas.openxmlformats.org/officeDocument/2006/relationships/hyperlink" Target="https://www.anthropic.com/engineering/building-effective-agents" TargetMode="External"/><Relationship Id="rId117" Type="http://schemas.openxmlformats.org/officeDocument/2006/relationships/hyperlink" Target="https://arxiv.org/abs/2210.03629" TargetMode="External"/><Relationship Id="rId118" Type="http://schemas.openxmlformats.org/officeDocument/2006/relationships/hyperlink" Target="https://www.anthropic.com/engineering/effective-context-engineering-for-ai-agents" TargetMode="External"/><Relationship Id="rId119" Type="http://schemas.openxmlformats.org/officeDocument/2006/relationships/hyperlink" Target="https://arxiv.org/abs/2310.08560" TargetMode="External"/><Relationship Id="rId120" Type="http://schemas.openxmlformats.org/officeDocument/2006/relationships/hyperlink" Target="https://www.anthropic.com/engineering/writing-tools-for-agents" TargetMode="External"/><Relationship Id="rId121" Type="http://schemas.openxmlformats.org/officeDocument/2006/relationships/hyperlink" Target="https://simonwillison.net/2025/Jun/16/the-lethal-trifecta/" TargetMode="External"/><Relationship Id="rId122" Type="http://schemas.openxmlformats.org/officeDocument/2006/relationships/hyperlink" Target="https://modelcontextprotocol.io/specification/2026-07-28" TargetMode="External"/><Relationship Id="rId123" Type="http://schemas.openxmlformats.org/officeDocument/2006/relationships/hyperlink" Target="https://huggingface.co/learn/mcp-course/en/unit0/introduction" TargetMode="External"/><Relationship Id="rId124" Type="http://schemas.openxmlformats.org/officeDocument/2006/relationships/hyperlink" Target="https://docs.langchain.com/oss/python/langchain/middleware/overview" TargetMode="External"/><Relationship Id="rId125" Type="http://schemas.openxmlformats.org/officeDocument/2006/relationships/hyperlink" Target="https://academy.langchain.com/courses/intro-to-langgraph" TargetMode="External"/><Relationship Id="rId126" Type="http://schemas.openxmlformats.org/officeDocument/2006/relationships/hyperlink" Target="https://openai.github.io/openai-agents-python/" TargetMode="External"/><Relationship Id="rId127" Type="http://schemas.openxmlformats.org/officeDocument/2006/relationships/hyperlink" Target="https://docs.langchain.com/oss/python/langgraph/overview" TargetMode="External"/><Relationship Id="rId128" Type="http://schemas.openxmlformats.org/officeDocument/2006/relationships/hyperlink" Target="https://www.anthropic.com/engineering/demystifying-evals-for-ai-agents" TargetMode="External"/><Relationship Id="rId129" Type="http://schemas.openxmlformats.org/officeDocument/2006/relationships/hyperlink" Target="https://modal.com/gpu-glossary" TargetMode="External"/><Relationship Id="rId130" Type="http://schemas.openxmlformats.org/officeDocument/2006/relationships/hyperlink" Target="https://horace.io/brrr_intro.html" TargetMode="External"/><Relationship Id="rId131" Type="http://schemas.openxmlformats.org/officeDocument/2006/relationships/hyperlink" Target="https://jax-ml.github.io/scaling-book/roofline/" TargetMode="External"/><Relationship Id="rId132" Type="http://schemas.openxmlformats.org/officeDocument/2006/relationships/hyperlink" Target="https://cs336.stanford.edu/lectures/?trace=lecture_06" TargetMode="External"/><Relationship Id="rId133" Type="http://schemas.openxmlformats.org/officeDocument/2006/relationships/hyperlink" Target="https://triton-lang.org/main/getting-started/tutorials/02-fused-softmax.html" TargetMode="External"/><Relationship Id="rId134" Type="http://schemas.openxmlformats.org/officeDocument/2006/relationships/hyperlink" Target="https://arxiv.org/abs/2205.14135" TargetMode="External"/><Relationship Id="rId135" Type="http://schemas.openxmlformats.org/officeDocument/2006/relationships/hyperlink" Target="https://www.youtube.com/watch?v=gMOAud7hZg4" TargetMode="External"/><Relationship Id="rId136" Type="http://schemas.openxmlformats.org/officeDocument/2006/relationships/hyperlink" Target="https://www.aleksagordic.com/blog/vllm" TargetMode="External"/><Relationship Id="rId137" Type="http://schemas.openxmlformats.org/officeDocument/2006/relationships/hyperlink" Target="https://newsletter.maartengrootendorst.com/p/a-visual-guide-to-quantization" TargetMode="External"/><Relationship Id="rId138" Type="http://schemas.openxmlformats.org/officeDocument/2006/relationships/hyperlink" Target="https://arxiv.org/abs/2211.17192" TargetMode="External"/><Relationship Id="rId139" Type="http://schemas.openxmlformats.org/officeDocument/2006/relationships/hyperlink" Target="https://www.youtube.com/watch?v=S-8yr_RibJ4" TargetMode="External"/><Relationship Id="rId140" Type="http://schemas.openxmlformats.org/officeDocument/2006/relationships/hyperlink" Target="https://nvidia.github.io/TensorRT-LLM/" TargetMode="External"/><Relationship Id="rId141" Type="http://schemas.openxmlformats.org/officeDocument/2006/relationships/hyperlink" Target="https://github.com/vllm-project/vllm" TargetMode="External"/><Relationship Id="rId142" Type="http://schemas.openxmlformats.org/officeDocument/2006/relationships/hyperlink" Target="https://arxiv.org/abs/2309.06180" TargetMode="External"/><Relationship Id="rId143" Type="http://schemas.openxmlformats.org/officeDocument/2006/relationships/hyperlink" Target="https://huggingface.co/spaces/nanotron/ultrascale-playbook" TargetMode="External"/><Relationship Id="rId144" Type="http://schemas.openxmlformats.org/officeDocument/2006/relationships/hyperlink" Target="https://arxiv.org/abs/1910.02054" TargetMode="External"/><Relationship Id="rId145" Type="http://schemas.openxmlformats.org/officeDocument/2006/relationships/hyperlink" Target="https://github.com/huggingface/picotron" TargetMode="External"/><Relationship Id="rId146" Type="http://schemas.openxmlformats.org/officeDocument/2006/relationships/hyperlink" Target="https://arxiv.org/abs/2406.17557" TargetMode="External"/><Relationship Id="rId147" Type="http://schemas.openxmlformats.org/officeDocument/2006/relationships/hyperlink" Target="https://arxiv.org/abs/2103.00020" TargetMode="External"/><Relationship Id="rId148" Type="http://schemas.openxmlformats.org/officeDocument/2006/relationships/hyperlink" Target="https://huggingface.co/learn/computer-vision-course/en/unit4/multimodal-models/clip-and-relatives/clip" TargetMode="External"/><Relationship Id="rId149" Type="http://schemas.openxmlformats.org/officeDocument/2006/relationships/hyperlink" Target="https://magazine.sebastianraschka.com/p/understanding-multimodal-llms" TargetMode="External"/><Relationship Id="rId150" Type="http://schemas.openxmlformats.org/officeDocument/2006/relationships/hyperlink" Target="https://github.com/huggingface/nanoVLM" TargetMode="External"/><Relationship Id="rId151" Type="http://schemas.openxmlformats.org/officeDocument/2006/relationships/hyperlink" Target="https://arxiv.org/abs/2407.01449" TargetMode="External"/><Relationship Id="rId152" Type="http://schemas.openxmlformats.org/officeDocument/2006/relationships/hyperlink" Target="https://github.com/illuin-tech/colpali" TargetMode="External"/><Relationship Id="rId153" Type="http://schemas.openxmlformats.org/officeDocument/2006/relationships/hyperlink" Target="https://github.com/illuin-tech/colpali" TargetMode="External"/><Relationship Id="rId154" Type="http://schemas.openxmlformats.org/officeDocument/2006/relationships/hyperlink" Target="https://github.com/anshu8830/anshu/blob/main/curriculum/concepts/04-rag-and-evaluation-metrics.md" TargetMode="External"/><Relationship Id="rId155" Type="http://schemas.openxmlformats.org/officeDocument/2006/relationships/hyperlink" Target="https://github.com/SWE-agent/mini-swe-agent" TargetMode="External"/><Relationship Id="rId156" Type="http://schemas.openxmlformats.org/officeDocument/2006/relationships/hyperlink" Target="https://aider.chat/docs/repomap.html" TargetMode="External"/><Relationship Id="rId157" Type="http://schemas.openxmlformats.org/officeDocument/2006/relationships/hyperlink" Target="https://github.com/SWE-agent/mini-swe-agent" TargetMode="External"/><Relationship Id="rId158" Type="http://schemas.openxmlformats.org/officeDocument/2006/relationships/hyperlink" Target="https://arxiv.org/abs/2406.18665" TargetMode="External"/><Relationship Id="rId159" Type="http://schemas.openxmlformats.org/officeDocument/2006/relationships/hyperlink" Target="https://huggingface.co/blog/vlms-2025" TargetMode="External"/><Relationship Id="rId160" Type="http://schemas.openxmlformats.org/officeDocument/2006/relationships/hyperlink" Target="https://github.com/SWE-bench/SWE-bench" TargetMode="External"/><Relationship Id="rId161" Type="http://schemas.openxmlformats.org/officeDocument/2006/relationships/hyperlink" Target="https://www.anthropic.com/engineering/demystifying-evals-for-ai-agents" TargetMode="External"/><Relationship Id="rId162" Type="http://schemas.openxmlformats.org/officeDocument/2006/relationships/hyperlink" Target="https://genai.owasp.org/llm-top-10/" TargetMode="External"/><Relationship Id="rId163" Type="http://schemas.openxmlformats.org/officeDocument/2006/relationships/hyperlink" Target="https://github.com/anshu8830/anshu/blob/main/curriculum/09-capstone-ai-software-engineer.md" TargetMode="External"/><Relationship Id="rId164" Type="http://schemas.openxmlformats.org/officeDocument/2006/relationships/hyperlink" Target="https://github.com/anshu8830/anshu/blob/main/curriculum/08-skill-checkpoints.md" TargetMode="External"/><Relationship Id="rId165" Type="http://schemas.openxmlformats.org/officeDocument/2006/relationships/hyperlink" Target="https://github.com/anshu8830/anshu/blob/main/curriculum/10-2027-continuation.md" TargetMode="External"/><Relationship Id="rId166" Type="http://schemas.openxmlformats.org/officeDocument/2006/relationships/hyperlink" Target="https://github.com/anshu8830/anshu/blob/main/curriculum/09-capstone-ai-software-engineer.md" TargetMode="External"/><Relationship Id="rId167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ccr.sigcomm.org/online/files/p83-keshavA.pdf" TargetMode="External"/><Relationship Id="rId2" Type="http://schemas.openxmlformats.org/officeDocument/2006/relationships/hyperlink" Target="https://cdn.openai.com/research-covers/language-unsupervised/language_understanding_paper.pdf" TargetMode="External"/><Relationship Id="rId3" Type="http://schemas.openxmlformats.org/officeDocument/2006/relationships/hyperlink" Target="https://arxiv.org/abs/2002.05202" TargetMode="External"/><Relationship Id="rId4" Type="http://schemas.openxmlformats.org/officeDocument/2006/relationships/hyperlink" Target="https://arxiv.org/abs/1508.07909" TargetMode="External"/><Relationship Id="rId5" Type="http://schemas.openxmlformats.org/officeDocument/2006/relationships/hyperlink" Target="https://arxiv.org/abs/1808.06226" TargetMode="External"/><Relationship Id="rId6" Type="http://schemas.openxmlformats.org/officeDocument/2006/relationships/hyperlink" Target="https://arxiv.org/abs/2307.03172" TargetMode="External"/><Relationship Id="rId7" Type="http://schemas.openxmlformats.org/officeDocument/2006/relationships/hyperlink" Target="https://arxiv.org/abs/2201.11903" TargetMode="External"/><Relationship Id="rId8" Type="http://schemas.openxmlformats.org/officeDocument/2006/relationships/hyperlink" Target="https://arxiv.org/abs/1706.03762" TargetMode="External"/><Relationship Id="rId9" Type="http://schemas.openxmlformats.org/officeDocument/2006/relationships/hyperlink" Target="https://arxiv.org/abs/1810.04805" TargetMode="External"/><Relationship Id="rId10" Type="http://schemas.openxmlformats.org/officeDocument/2006/relationships/hyperlink" Target="https://cdn.openai.com/better-language-models/language_models_are_unsupervised_multitask_learners.pdf" TargetMode="External"/><Relationship Id="rId11" Type="http://schemas.openxmlformats.org/officeDocument/2006/relationships/hyperlink" Target="https://arxiv.org/abs/1910.07467" TargetMode="External"/><Relationship Id="rId12" Type="http://schemas.openxmlformats.org/officeDocument/2006/relationships/hyperlink" Target="https://arxiv.org/abs/1911.02150" TargetMode="External"/><Relationship Id="rId13" Type="http://schemas.openxmlformats.org/officeDocument/2006/relationships/hyperlink" Target="https://arxiv.org/abs/2305.13245" TargetMode="External"/><Relationship Id="rId14" Type="http://schemas.openxmlformats.org/officeDocument/2006/relationships/hyperlink" Target="https://arxiv.org/abs/2005.14165" TargetMode="External"/><Relationship Id="rId15" Type="http://schemas.openxmlformats.org/officeDocument/2006/relationships/hyperlink" Target="https://arxiv.org/abs/1904.09751" TargetMode="External"/><Relationship Id="rId16" Type="http://schemas.openxmlformats.org/officeDocument/2006/relationships/hyperlink" Target="https://arxiv.org/abs/2401.04088" TargetMode="External"/><Relationship Id="rId17" Type="http://schemas.openxmlformats.org/officeDocument/2006/relationships/hyperlink" Target="https://arxiv.org/abs/1908.10084" TargetMode="External"/><Relationship Id="rId18" Type="http://schemas.openxmlformats.org/officeDocument/2006/relationships/hyperlink" Target="https://arxiv.org/abs/2004.04906" TargetMode="External"/><Relationship Id="rId19" Type="http://schemas.openxmlformats.org/officeDocument/2006/relationships/hyperlink" Target="https://arxiv.org/abs/2104.08663" TargetMode="External"/><Relationship Id="rId20" Type="http://schemas.openxmlformats.org/officeDocument/2006/relationships/hyperlink" Target="https://arxiv.org/abs/2005.11401" TargetMode="External"/><Relationship Id="rId21" Type="http://schemas.openxmlformats.org/officeDocument/2006/relationships/hyperlink" Target="https://arxiv.org/abs/2212.10496" TargetMode="External"/><Relationship Id="rId22" Type="http://schemas.openxmlformats.org/officeDocument/2006/relationships/hyperlink" Target="https://arxiv.org/abs/2306.05685" TargetMode="External"/><Relationship Id="rId23" Type="http://schemas.openxmlformats.org/officeDocument/2006/relationships/hyperlink" Target="https://arxiv.org/abs/2303.16634" TargetMode="External"/><Relationship Id="rId24" Type="http://schemas.openxmlformats.org/officeDocument/2006/relationships/hyperlink" Target="https://arxiv.org/abs/2309.15217" TargetMode="External"/><Relationship Id="rId25" Type="http://schemas.openxmlformats.org/officeDocument/2006/relationships/hyperlink" Target="https://arxiv.org/abs/2404.12272" TargetMode="External"/><Relationship Id="rId26" Type="http://schemas.openxmlformats.org/officeDocument/2006/relationships/hyperlink" Target="https://arxiv.org/abs/2406.12045" TargetMode="External"/><Relationship Id="rId27" Type="http://schemas.openxmlformats.org/officeDocument/2006/relationships/hyperlink" Target="https://arxiv.org/abs/2106.09685" TargetMode="External"/><Relationship Id="rId28" Type="http://schemas.openxmlformats.org/officeDocument/2006/relationships/hyperlink" Target="https://arxiv.org/abs/2501.19393" TargetMode="External"/><Relationship Id="rId29" Type="http://schemas.openxmlformats.org/officeDocument/2006/relationships/hyperlink" Target="https://arxiv.org/abs/2210.03629" TargetMode="External"/><Relationship Id="rId30" Type="http://schemas.openxmlformats.org/officeDocument/2006/relationships/hyperlink" Target="https://arxiv.org/abs/2303.11366" TargetMode="External"/><Relationship Id="rId31" Type="http://schemas.openxmlformats.org/officeDocument/2006/relationships/hyperlink" Target="https://arxiv.org/abs/2310.08560" TargetMode="External"/><Relationship Id="rId32" Type="http://schemas.openxmlformats.org/officeDocument/2006/relationships/hyperlink" Target="https://arxiv.org/abs/2406.17557" TargetMode="External"/><Relationship Id="rId33" Type="http://schemas.openxmlformats.org/officeDocument/2006/relationships/hyperlink" Target="https://arxiv.org/abs/2010.11929" TargetMode="External"/><Relationship Id="rId34" Type="http://schemas.openxmlformats.org/officeDocument/2006/relationships/hyperlink" Target="https://arxiv.org/abs/2103.00020" TargetMode="External"/><Relationship Id="rId35" Type="http://schemas.openxmlformats.org/officeDocument/2006/relationships/hyperlink" Target="https://arxiv.org/abs/2304.08485" TargetMode="External"/><Relationship Id="rId36" Type="http://schemas.openxmlformats.org/officeDocument/2006/relationships/hyperlink" Target="https://arxiv.org/abs/2212.04356" TargetMode="External"/><Relationship Id="rId37" Type="http://schemas.openxmlformats.org/officeDocument/2006/relationships/hyperlink" Target="https://arxiv.org/abs/2310.06770" TargetMode="External"/><Relationship Id="rId38" Type="http://schemas.openxmlformats.org/officeDocument/2006/relationships/hyperlink" Target="https://arxiv.org/abs/2406.18665" TargetMode="External"/><Relationship Id="rId39" Type="http://schemas.openxmlformats.org/officeDocument/2006/relationships/hyperlink" Target="https://arxiv.org/abs/2002.04745" TargetMode="External"/><Relationship Id="rId40" Type="http://schemas.openxmlformats.org/officeDocument/2006/relationships/hyperlink" Target="https://arxiv.org/abs/2104.09864" TargetMode="External"/><Relationship Id="rId41" Type="http://schemas.openxmlformats.org/officeDocument/2006/relationships/hyperlink" Target="https://arxiv.org/abs/2001.08361" TargetMode="External"/><Relationship Id="rId42" Type="http://schemas.openxmlformats.org/officeDocument/2006/relationships/hyperlink" Target="https://arxiv.org/abs/2203.15556" TargetMode="External"/><Relationship Id="rId43" Type="http://schemas.openxmlformats.org/officeDocument/2006/relationships/hyperlink" Target="https://arxiv.org/abs/2101.03961" TargetMode="External"/><Relationship Id="rId44" Type="http://schemas.openxmlformats.org/officeDocument/2006/relationships/hyperlink" Target="https://arxiv.org/abs/1807.03748" TargetMode="External"/><Relationship Id="rId45" Type="http://schemas.openxmlformats.org/officeDocument/2006/relationships/hyperlink" Target="https://doi.org/10.1109/TPAMI.2010.57" TargetMode="External"/><Relationship Id="rId46" Type="http://schemas.openxmlformats.org/officeDocument/2006/relationships/hyperlink" Target="https://arxiv.org/abs/1603.09320" TargetMode="External"/><Relationship Id="rId47" Type="http://schemas.openxmlformats.org/officeDocument/2006/relationships/hyperlink" Target="https://arxiv.org/abs/2401.08281" TargetMode="External"/><Relationship Id="rId48" Type="http://schemas.openxmlformats.org/officeDocument/2006/relationships/hyperlink" Target="https://arxiv.org/abs/2004.12832" TargetMode="External"/><Relationship Id="rId49" Type="http://schemas.openxmlformats.org/officeDocument/2006/relationships/hyperlink" Target="https://arxiv.org/abs/2402.03216" TargetMode="External"/><Relationship Id="rId50" Type="http://schemas.openxmlformats.org/officeDocument/2006/relationships/hyperlink" Target="https://arxiv.org/abs/2310.11511" TargetMode="External"/><Relationship Id="rId51" Type="http://schemas.openxmlformats.org/officeDocument/2006/relationships/hyperlink" Target="https://arxiv.org/abs/2404.16130" TargetMode="External"/><Relationship Id="rId52" Type="http://schemas.openxmlformats.org/officeDocument/2006/relationships/hyperlink" Target="https://arxiv.org/abs/2203.02155" TargetMode="External"/><Relationship Id="rId53" Type="http://schemas.openxmlformats.org/officeDocument/2006/relationships/hyperlink" Target="https://arxiv.org/abs/2305.14314" TargetMode="External"/><Relationship Id="rId54" Type="http://schemas.openxmlformats.org/officeDocument/2006/relationships/hyperlink" Target="https://arxiv.org/abs/1706.03741" TargetMode="External"/><Relationship Id="rId55" Type="http://schemas.openxmlformats.org/officeDocument/2006/relationships/hyperlink" Target="https://arxiv.org/abs/2501.12948" TargetMode="External"/><Relationship Id="rId56" Type="http://schemas.openxmlformats.org/officeDocument/2006/relationships/hyperlink" Target="https://arxiv.org/abs/2411.15124" TargetMode="External"/><Relationship Id="rId57" Type="http://schemas.openxmlformats.org/officeDocument/2006/relationships/hyperlink" Target="https://arxiv.org/abs/2309.06180" TargetMode="External"/><Relationship Id="rId58" Type="http://schemas.openxmlformats.org/officeDocument/2006/relationships/hyperlink" Target="https://arxiv.org/abs/2403.02310" TargetMode="External"/><Relationship Id="rId59" Type="http://schemas.openxmlformats.org/officeDocument/2006/relationships/hyperlink" Target="https://arxiv.org/abs/2211.17192" TargetMode="External"/><Relationship Id="rId60" Type="http://schemas.openxmlformats.org/officeDocument/2006/relationships/hyperlink" Target="https://arxiv.org/abs/2208.07339" TargetMode="External"/><Relationship Id="rId61" Type="http://schemas.openxmlformats.org/officeDocument/2006/relationships/hyperlink" Target="https://arxiv.org/abs/2306.00978" TargetMode="External"/><Relationship Id="rId62" Type="http://schemas.openxmlformats.org/officeDocument/2006/relationships/hyperlink" Target="https://arxiv.org/abs/1910.02054" TargetMode="External"/><Relationship Id="rId63" Type="http://schemas.openxmlformats.org/officeDocument/2006/relationships/hyperlink" Target="https://arxiv.org/abs/1909.08053" TargetMode="External"/><Relationship Id="rId64" Type="http://schemas.openxmlformats.org/officeDocument/2006/relationships/hyperlink" Target="https://arxiv.org/abs/2407.01449" TargetMode="External"/><Relationship Id="rId65" Type="http://schemas.openxmlformats.org/officeDocument/2006/relationships/hyperlink" Target="https://arxiv.org/abs/1707.06347" TargetMode="External"/><Relationship Id="rId66" Type="http://schemas.openxmlformats.org/officeDocument/2006/relationships/hyperlink" Target="https://arxiv.org/abs/2305.18290" TargetMode="External"/><Relationship Id="rId67" Type="http://schemas.openxmlformats.org/officeDocument/2006/relationships/hyperlink" Target="https://arxiv.org/abs/2402.03300" TargetMode="External"/><Relationship Id="rId68" Type="http://schemas.openxmlformats.org/officeDocument/2006/relationships/hyperlink" Target="https://arxiv.org/abs/2503.20783" TargetMode="External"/><Relationship Id="rId69" Type="http://schemas.openxmlformats.org/officeDocument/2006/relationships/hyperlink" Target="https://arxiv.org/abs/2503.14476" TargetMode="External"/><Relationship Id="rId70" Type="http://schemas.openxmlformats.org/officeDocument/2006/relationships/hyperlink" Target="https://arxiv.org/abs/2205.14135" TargetMode="External"/><Relationship Id="rId71" Type="http://schemas.openxmlformats.org/officeDocument/2006/relationships/hyperlink" Target="https://arxiv.org/abs/2210.17323" TargetMode="External"/><Relationship Id="rId72" Type="http://schemas.openxmlformats.org/officeDocument/2006/relationships/hyperlink" Target="https://arxiv.org/abs/1811.06965" TargetMode="External"/><Relationship Id="rId73" Type="http://schemas.openxmlformats.org/officeDocument/2006/relationships/hyperlink" Target="https://arxiv.org/abs/2305.20050" TargetMode="External"/><Relationship Id="rId74" Type="http://schemas.openxmlformats.org/officeDocument/2006/relationships/hyperlink" Target="https://arxiv.org/abs/2212.08073" TargetMode="External"/><Relationship Id="rId75" Type="http://schemas.openxmlformats.org/officeDocument/2006/relationships/hyperlink" Target="https://arxiv.org/abs/2401.06066" TargetMode="External"/><Relationship Id="rId76" Type="http://schemas.openxmlformats.org/officeDocument/2006/relationships/hyperlink" Target="https://arxiv.org/abs/2505.09388" TargetMode="External"/><Relationship Id="rId77" Type="http://schemas.openxmlformats.org/officeDocument/2006/relationships/hyperlink" Target="https://arxiv.org/abs/2112.01488" TargetMode="External"/><Relationship Id="rId78" Type="http://schemas.openxmlformats.org/officeDocument/2006/relationships/hyperlink" Target="https://arxiv.org/abs/2303.15343" TargetMode="External"/><Relationship Id="rId79" Type="http://schemas.openxmlformats.org/officeDocument/2006/relationships/hyperlink" Target="https://arxiv.org/abs/2307.08691" TargetMode="External"/><Relationship Id="rId80" Type="http://schemas.openxmlformats.org/officeDocument/2006/relationships/hyperlink" Target="https://arxiv.org/abs/1506.02438" TargetMode="External"/><Relationship Id="rId81" Type="http://schemas.openxmlformats.org/officeDocument/2006/relationships/hyperlink" Target="https://arxiv.org/abs/2412.19437" TargetMode="External"/><Relationship Id="rId82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udlbook.github.io/udlbook/" TargetMode="External"/><Relationship Id="rId2" Type="http://schemas.openxmlformats.org/officeDocument/2006/relationships/hyperlink" Target="https://cs336.stanford.edu/lectures/?trace=lecture_02" TargetMode="External"/><Relationship Id="rId3" Type="http://schemas.openxmlformats.org/officeDocument/2006/relationships/hyperlink" Target="https://github.com/anshu8830/anshu/blob/main/curriculum/concepts/01-attention-and-transformer.md" TargetMode="External"/><Relationship Id="rId4" Type="http://schemas.openxmlformats.org/officeDocument/2006/relationships/hyperlink" Target="https://jalammar.github.io/illustrated-transformer/" TargetMode="External"/><Relationship Id="rId5" Type="http://schemas.openxmlformats.org/officeDocument/2006/relationships/hyperlink" Target="https://explained.ai/matrix-calculus/" TargetMode="External"/><Relationship Id="rId6" Type="http://schemas.openxmlformats.org/officeDocument/2006/relationships/hyperlink" Target="https://nlp.seas.harvard.edu/annotated-transformer/" TargetMode="External"/><Relationship Id="rId7" Type="http://schemas.openxmlformats.org/officeDocument/2006/relationships/hyperlink" Target="http://ccr.sigcomm.org/online/files/p83-keshavA.pdf" TargetMode="External"/><Relationship Id="rId8" Type="http://schemas.openxmlformats.org/officeDocument/2006/relationships/hyperlink" Target="https://www.youtube.com/watch?v=q8SA3rM6ckI" TargetMode="External"/><Relationship Id="rId9" Type="http://schemas.openxmlformats.org/officeDocument/2006/relationships/hyperlink" Target="https://www.youtube.com/watch?v=wjZofJX0v4M" TargetMode="External"/><Relationship Id="rId10" Type="http://schemas.openxmlformats.org/officeDocument/2006/relationships/hyperlink" Target="https://www.youtube.com/watch?v=eMlx5fFNoYc" TargetMode="External"/><Relationship Id="rId11" Type="http://schemas.openxmlformats.org/officeDocument/2006/relationships/hyperlink" Target="https://www.youtube.com/watch?v=kCc8FmEb1nY" TargetMode="External"/><Relationship Id="rId12" Type="http://schemas.openxmlformats.org/officeDocument/2006/relationships/hyperlink" Target="https://github.com/stanford-cs336/lectures/blob/main/lecture_03.pdf" TargetMode="External"/><Relationship Id="rId13" Type="http://schemas.openxmlformats.org/officeDocument/2006/relationships/hyperlink" Target="https://magazine.sebastianraschka.com/p/the-big-llm-architecture-comparison" TargetMode="External"/><Relationship Id="rId14" Type="http://schemas.openxmlformats.org/officeDocument/2006/relationships/hyperlink" Target="https://github.com/rasbt/LLMs-from-scratch" TargetMode="External"/><Relationship Id="rId15" Type="http://schemas.openxmlformats.org/officeDocument/2006/relationships/hyperlink" Target="https://www.youtube.com/watch?v=lVynu4bo1rY" TargetMode="External"/><Relationship Id="rId16" Type="http://schemas.openxmlformats.org/officeDocument/2006/relationships/hyperlink" Target="https://www.youtube.com/watch?v=Mn_9W1nCFLo" TargetMode="External"/><Relationship Id="rId17" Type="http://schemas.openxmlformats.org/officeDocument/2006/relationships/hyperlink" Target="https://github.com/stanford-cs336/assignment1-basics" TargetMode="External"/><Relationship Id="rId18" Type="http://schemas.openxmlformats.org/officeDocument/2006/relationships/hyperlink" Target="https://www.youtube.com/watch?v=zduSFxRajkE" TargetMode="External"/><Relationship Id="rId19" Type="http://schemas.openxmlformats.org/officeDocument/2006/relationships/hyperlink" Target="https://github.com/anshu8830/anshu/blob/main/curriculum/concepts/02-prompt-to-next-token.md" TargetMode="External"/><Relationship Id="rId20" Type="http://schemas.openxmlformats.org/officeDocument/2006/relationships/hyperlink" Target="https://github.com/karpathy/minbpe" TargetMode="External"/><Relationship Id="rId21" Type="http://schemas.openxmlformats.org/officeDocument/2006/relationships/hyperlink" Target="https://github.com/karpathy/nanoGPT" TargetMode="External"/><Relationship Id="rId22" Type="http://schemas.openxmlformats.org/officeDocument/2006/relationships/hyperlink" Target="http://karpathy.github.io/2019/04/25/recipe/" TargetMode="External"/><Relationship Id="rId23" Type="http://schemas.openxmlformats.org/officeDocument/2006/relationships/hyperlink" Target="https://www.youtube.com/watch?v=JuoVZkPBiKk" TargetMode="External"/><Relationship Id="rId24" Type="http://schemas.openxmlformats.org/officeDocument/2006/relationships/hyperlink" Target="https://cs336.stanford.edu/lectures/?trace=lecture_10" TargetMode="External"/><Relationship Id="rId25" Type="http://schemas.openxmlformats.org/officeDocument/2006/relationships/hyperlink" Target="https://github.com/stanford-cs336/lectures/blob/main/lecture_09.pdf" TargetMode="External"/><Relationship Id="rId26" Type="http://schemas.openxmlformats.org/officeDocument/2006/relationships/hyperlink" Target="https://github.com/stanford-cs336/lectures/blob/main/lecture_04.pdf" TargetMode="External"/><Relationship Id="rId27" Type="http://schemas.openxmlformats.org/officeDocument/2006/relationships/hyperlink" Target="https://kipply.github.io/blog/transformer-inference-arithmetic/" TargetMode="External"/><Relationship Id="rId28" Type="http://schemas.openxmlformats.org/officeDocument/2006/relationships/hyperlink" Target="https://newsletter.maartengrootendorst.com/p/a-visual-guide-to-mixture-of-experts" TargetMode="External"/><Relationship Id="rId29" Type="http://schemas.openxmlformats.org/officeDocument/2006/relationships/hyperlink" Target="https://bbycroft.net/llm" TargetMode="External"/><Relationship Id="rId30" Type="http://schemas.openxmlformats.org/officeDocument/2006/relationships/hyperlink" Target="https://www.youtube.com/playlist?list=PLoROMvodv4rMqXOcazWaTUHhq-yembLCV" TargetMode="External"/><Relationship Id="rId31" Type="http://schemas.openxmlformats.org/officeDocument/2006/relationships/hyperlink" Target="https://www.youtube.com/watch?v=9vM4p9NN0Ts" TargetMode="External"/><Relationship Id="rId32" Type="http://schemas.openxmlformats.org/officeDocument/2006/relationships/hyperlink" Target="https://github.com/anshu8830/anshu/blob/main/curriculum/concepts/03-retrieval-and-vector-search.md" TargetMode="External"/><Relationship Id="rId33" Type="http://schemas.openxmlformats.org/officeDocument/2006/relationships/hyperlink" Target="https://nlp.stanford.edu/IR-book/html/htmledition/irbook.html" TargetMode="External"/><Relationship Id="rId34" Type="http://schemas.openxmlformats.org/officeDocument/2006/relationships/hyperlink" Target="https://www.pinecone.io/learn/series/faiss/" TargetMode="External"/><Relationship Id="rId35" Type="http://schemas.openxmlformats.org/officeDocument/2006/relationships/hyperlink" Target="https://github.com/xhluca/bm25s" TargetMode="External"/><Relationship Id="rId36" Type="http://schemas.openxmlformats.org/officeDocument/2006/relationships/hyperlink" Target="https://arxiv.org/abs/2401.08281" TargetMode="External"/><Relationship Id="rId37" Type="http://schemas.openxmlformats.org/officeDocument/2006/relationships/hyperlink" Target="https://github.com/pgvector/pgvector" TargetMode="External"/><Relationship Id="rId38" Type="http://schemas.openxmlformats.org/officeDocument/2006/relationships/hyperlink" Target="https://qdrant.tech/documentation/" TargetMode="External"/><Relationship Id="rId39" Type="http://schemas.openxmlformats.org/officeDocument/2006/relationships/hyperlink" Target="https://sbert.net/" TargetMode="External"/><Relationship Id="rId40" Type="http://schemas.openxmlformats.org/officeDocument/2006/relationships/hyperlink" Target="https://www.youtube.com/watch?v=QvKMwLjdK-s" TargetMode="External"/><Relationship Id="rId41" Type="http://schemas.openxmlformats.org/officeDocument/2006/relationships/hyperlink" Target="https://arxiv.org/abs/2005.11401" TargetMode="External"/><Relationship Id="rId42" Type="http://schemas.openxmlformats.org/officeDocument/2006/relationships/hyperlink" Target="https://parlance-labs.com/education/rag/ben.html" TargetMode="External"/><Relationship Id="rId43" Type="http://schemas.openxmlformats.org/officeDocument/2006/relationships/hyperlink" Target="https://www.anthropic.com/news/contextual-retrieval" TargetMode="External"/><Relationship Id="rId44" Type="http://schemas.openxmlformats.org/officeDocument/2006/relationships/hyperlink" Target="https://docling-project.github.io/docling/" TargetMode="External"/><Relationship Id="rId45" Type="http://schemas.openxmlformats.org/officeDocument/2006/relationships/hyperlink" Target="https://github.com/anshu8830/anshu/blob/main/curriculum/concepts/04-rag-and-evaluation-metrics.md" TargetMode="External"/><Relationship Id="rId46" Type="http://schemas.openxmlformats.org/officeDocument/2006/relationships/hyperlink" Target="https://arxiv.org/abs/2402.03216" TargetMode="External"/><Relationship Id="rId47" Type="http://schemas.openxmlformats.org/officeDocument/2006/relationships/hyperlink" Target="https://arxiv.org/abs/2004.12832" TargetMode="External"/><Relationship Id="rId48" Type="http://schemas.openxmlformats.org/officeDocument/2006/relationships/hyperlink" Target="https://www.youtube.com/watch?v=mE7IDf2SmJg" TargetMode="External"/><Relationship Id="rId49" Type="http://schemas.openxmlformats.org/officeDocument/2006/relationships/hyperlink" Target="https://www.youtube.com/watch?v=0nA5QG3087g" TargetMode="External"/><Relationship Id="rId50" Type="http://schemas.openxmlformats.org/officeDocument/2006/relationships/hyperlink" Target="https://hamel.dev/blog/posts/evals/" TargetMode="External"/><Relationship Id="rId51" Type="http://schemas.openxmlformats.org/officeDocument/2006/relationships/hyperlink" Target="https://hamel.dev/blog/posts/llm-judge/" TargetMode="External"/><Relationship Id="rId52" Type="http://schemas.openxmlformats.org/officeDocument/2006/relationships/hyperlink" Target="https://www.anthropic.com/engineering/demystifying-evals-for-ai-agents" TargetMode="External"/><Relationship Id="rId53" Type="http://schemas.openxmlformats.org/officeDocument/2006/relationships/hyperlink" Target="https://eugeneyan.com/writing/llm-evaluators/" TargetMode="External"/><Relationship Id="rId54" Type="http://schemas.openxmlformats.org/officeDocument/2006/relationships/hyperlink" Target="https://huggingface.co/spaces/OpenEvals/evaluation-guidebook" TargetMode="External"/><Relationship Id="rId55" Type="http://schemas.openxmlformats.org/officeDocument/2006/relationships/hyperlink" Target="https://cs336.stanford.edu/lectures/?trace=lecture_12" TargetMode="External"/><Relationship Id="rId56" Type="http://schemas.openxmlformats.org/officeDocument/2006/relationships/hyperlink" Target="https://docs.ragas.io/en/stable/concepts/metrics/available_metrics/" TargetMode="External"/><Relationship Id="rId57" Type="http://schemas.openxmlformats.org/officeDocument/2006/relationships/hyperlink" Target="https://inspect.aisi.org.uk/" TargetMode="External"/><Relationship Id="rId58" Type="http://schemas.openxmlformats.org/officeDocument/2006/relationships/hyperlink" Target="https://github.com/EleutherAI/lm-evaluation-harness" TargetMode="External"/><Relationship Id="rId59" Type="http://schemas.openxmlformats.org/officeDocument/2006/relationships/hyperlink" Target="https://huggingface.co/learn/llm-course/chapter11/1" TargetMode="External"/><Relationship Id="rId60" Type="http://schemas.openxmlformats.org/officeDocument/2006/relationships/hyperlink" Target="https://github.com/stanford-cs336/lectures/blob/main/lecture_15.pdf" TargetMode="External"/><Relationship Id="rId61" Type="http://schemas.openxmlformats.org/officeDocument/2006/relationships/hyperlink" Target="https://thinkingmachines.ai/blog/lora/" TargetMode="External"/><Relationship Id="rId62" Type="http://schemas.openxmlformats.org/officeDocument/2006/relationships/hyperlink" Target="https://github.com/anshu8830/anshu/blob/main/curriculum/concepts/05-post-training-math.md" TargetMode="External"/><Relationship Id="rId63" Type="http://schemas.openxmlformats.org/officeDocument/2006/relationships/hyperlink" Target="https://huggingface.co/docs/transformers/chat_templating" TargetMode="External"/><Relationship Id="rId64" Type="http://schemas.openxmlformats.org/officeDocument/2006/relationships/hyperlink" Target="https://huggingface.co/docs/trl/sft_trainer" TargetMode="External"/><Relationship Id="rId65" Type="http://schemas.openxmlformats.org/officeDocument/2006/relationships/hyperlink" Target="https://unsloth.ai/docs/get-started/fine-tuning-llms-guide" TargetMode="External"/><Relationship Id="rId66" Type="http://schemas.openxmlformats.org/officeDocument/2006/relationships/hyperlink" Target="https://github.com/huggingface/smol-course" TargetMode="External"/><Relationship Id="rId67" Type="http://schemas.openxmlformats.org/officeDocument/2006/relationships/hyperlink" Target="https://newsletter.maartengrootendorst.com/p/a-visual-guide-to-quantization" TargetMode="External"/><Relationship Id="rId68" Type="http://schemas.openxmlformats.org/officeDocument/2006/relationships/hyperlink" Target="https://huggingface.co/docs/trl/en/lora_without_regret" TargetMode="External"/><Relationship Id="rId69" Type="http://schemas.openxmlformats.org/officeDocument/2006/relationships/hyperlink" Target="https://spinningup.openai.com/en/latest/" TargetMode="External"/><Relationship Id="rId70" Type="http://schemas.openxmlformats.org/officeDocument/2006/relationships/hyperlink" Target="https://rlhfbook.com/" TargetMode="External"/><Relationship Id="rId71" Type="http://schemas.openxmlformats.org/officeDocument/2006/relationships/hyperlink" Target="https://github.com/stanford-cs336/lectures/blob/main/lecture_16.pdf" TargetMode="External"/><Relationship Id="rId72" Type="http://schemas.openxmlformats.org/officeDocument/2006/relationships/hyperlink" Target="https://huggingface.co/learn/llm-course/chapter12" TargetMode="External"/><Relationship Id="rId73" Type="http://schemas.openxmlformats.org/officeDocument/2006/relationships/hyperlink" Target="https://github.com/rasbt/reasoning-from-scratch" TargetMode="External"/><Relationship Id="rId74" Type="http://schemas.openxmlformats.org/officeDocument/2006/relationships/hyperlink" Target="https://lilianweng.github.io/posts/2025-05-01-thinking/" TargetMode="External"/><Relationship Id="rId75" Type="http://schemas.openxmlformats.org/officeDocument/2006/relationships/hyperlink" Target="https://lilianweng.github.io/posts/2024-11-28-reward-hacking/" TargetMode="External"/><Relationship Id="rId76" Type="http://schemas.openxmlformats.org/officeDocument/2006/relationships/hyperlink" Target="https://github.com/stanford-cs336/assignment5-alignment" TargetMode="External"/><Relationship Id="rId77" Type="http://schemas.openxmlformats.org/officeDocument/2006/relationships/hyperlink" Target="https://www.youtube.com/watch?v=AKbX1Zvo7r8" TargetMode="External"/><Relationship Id="rId78" Type="http://schemas.openxmlformats.org/officeDocument/2006/relationships/hyperlink" Target="https://www.youtube.com/watch?v=qGyFrqc34yc" TargetMode="External"/><Relationship Id="rId79" Type="http://schemas.openxmlformats.org/officeDocument/2006/relationships/hyperlink" Target="https://www.youtube.com/watch?v=hvGa5Mba4c8" TargetMode="External"/><Relationship Id="rId80" Type="http://schemas.openxmlformats.org/officeDocument/2006/relationships/hyperlink" Target="https://www.anthropic.com/engineering/building-effective-agents" TargetMode="External"/><Relationship Id="rId81" Type="http://schemas.openxmlformats.org/officeDocument/2006/relationships/hyperlink" Target="https://www.anthropic.com/engineering/effective-context-engineering-for-ai-agents" TargetMode="External"/><Relationship Id="rId82" Type="http://schemas.openxmlformats.org/officeDocument/2006/relationships/hyperlink" Target="https://modelcontextprotocol.io/specification/2026-07-28" TargetMode="External"/><Relationship Id="rId83" Type="http://schemas.openxmlformats.org/officeDocument/2006/relationships/hyperlink" Target="https://blog.modelcontextprotocol.io/posts/2026-07-28/" TargetMode="External"/><Relationship Id="rId84" Type="http://schemas.openxmlformats.org/officeDocument/2006/relationships/hyperlink" Target="https://www.anthropic.com/engineering/writing-tools-for-agents" TargetMode="External"/><Relationship Id="rId85" Type="http://schemas.openxmlformats.org/officeDocument/2006/relationships/hyperlink" Target="https://www.anthropic.com/engineering/multi-agent-research-system" TargetMode="External"/><Relationship Id="rId86" Type="http://schemas.openxmlformats.org/officeDocument/2006/relationships/hyperlink" Target="https://lilianweng.github.io/posts/2023-06-23-agent/" TargetMode="External"/><Relationship Id="rId87" Type="http://schemas.openxmlformats.org/officeDocument/2006/relationships/hyperlink" Target="https://academy.langchain.com/courses/intro-to-langgraph" TargetMode="External"/><Relationship Id="rId88" Type="http://schemas.openxmlformats.org/officeDocument/2006/relationships/hyperlink" Target="https://huggingface.co/learn/mcp-course/en/unit0/introduction" TargetMode="External"/><Relationship Id="rId89" Type="http://schemas.openxmlformats.org/officeDocument/2006/relationships/hyperlink" Target="https://huggingface.co/learn/agents-course/en/unit0/introduction" TargetMode="External"/><Relationship Id="rId90" Type="http://schemas.openxmlformats.org/officeDocument/2006/relationships/hyperlink" Target="https://docs.langchain.com/oss/python/langgraph/overview" TargetMode="External"/><Relationship Id="rId91" Type="http://schemas.openxmlformats.org/officeDocument/2006/relationships/hyperlink" Target="https://docs.langchain.com/oss/python/langchain/middleware/overview" TargetMode="External"/><Relationship Id="rId92" Type="http://schemas.openxmlformats.org/officeDocument/2006/relationships/hyperlink" Target="https://reference.langchain.com/python/langchain/agents/factory/create_agent" TargetMode="External"/><Relationship Id="rId93" Type="http://schemas.openxmlformats.org/officeDocument/2006/relationships/hyperlink" Target="https://docs.langchain.com/langsmith/evaluation" TargetMode="External"/><Relationship Id="rId94" Type="http://schemas.openxmlformats.org/officeDocument/2006/relationships/hyperlink" Target="https://huggingface.co/learn/agents-course/unit2/langgraph/introduction" TargetMode="External"/><Relationship Id="rId95" Type="http://schemas.openxmlformats.org/officeDocument/2006/relationships/hyperlink" Target="https://openai.github.io/openai-agents-python/" TargetMode="External"/><Relationship Id="rId96" Type="http://schemas.openxmlformats.org/officeDocument/2006/relationships/hyperlink" Target="https://developers.llamaindex.ai/python/framework/module_guides/workflow/" TargetMode="External"/><Relationship Id="rId97" Type="http://schemas.openxmlformats.org/officeDocument/2006/relationships/hyperlink" Target="https://huggingface.co/docs/smolagents" TargetMode="External"/><Relationship Id="rId98" Type="http://schemas.openxmlformats.org/officeDocument/2006/relationships/hyperlink" Target="https://genai.owasp.org/llm-top-10/" TargetMode="External"/><Relationship Id="rId99" Type="http://schemas.openxmlformats.org/officeDocument/2006/relationships/hyperlink" Target="https://simonwillison.net/2025/Jun/16/the-lethal-trifecta/" TargetMode="External"/><Relationship Id="rId100" Type="http://schemas.openxmlformats.org/officeDocument/2006/relationships/hyperlink" Target="https://github.com/SWE-agent/mini-swe-agent" TargetMode="External"/><Relationship Id="rId101" Type="http://schemas.openxmlformats.org/officeDocument/2006/relationships/hyperlink" Target="https://www.youtube.com/watch?v=D7_ipDqhtwk" TargetMode="External"/><Relationship Id="rId102" Type="http://schemas.openxmlformats.org/officeDocument/2006/relationships/hyperlink" Target="https://modal.com/gpu-glossary" TargetMode="External"/><Relationship Id="rId103" Type="http://schemas.openxmlformats.org/officeDocument/2006/relationships/hyperlink" Target="https://jax-ml.github.io/scaling-book/roofline/" TargetMode="External"/><Relationship Id="rId104" Type="http://schemas.openxmlformats.org/officeDocument/2006/relationships/hyperlink" Target="https://horace.io/brrr_intro.html" TargetMode="External"/><Relationship Id="rId105" Type="http://schemas.openxmlformats.org/officeDocument/2006/relationships/hyperlink" Target="https://www.aleksagordic.com/blog/vllm" TargetMode="External"/><Relationship Id="rId106" Type="http://schemas.openxmlformats.org/officeDocument/2006/relationships/hyperlink" Target="https://github.com/anshu8830/anshu/blob/main/curriculum/concepts/06-gpu-and-inference-math.md" TargetMode="External"/><Relationship Id="rId107" Type="http://schemas.openxmlformats.org/officeDocument/2006/relationships/hyperlink" Target="https://github.com/stanford-cs336/lectures/blob/main/lecture_05.pdf" TargetMode="External"/><Relationship Id="rId108" Type="http://schemas.openxmlformats.org/officeDocument/2006/relationships/hyperlink" Target="https://cs336.stanford.edu/lectures/?trace=lecture_06" TargetMode="External"/><Relationship Id="rId109" Type="http://schemas.openxmlformats.org/officeDocument/2006/relationships/hyperlink" Target="https://triton-lang.org/main/getting-started/tutorials/" TargetMode="External"/><Relationship Id="rId110" Type="http://schemas.openxmlformats.org/officeDocument/2006/relationships/hyperlink" Target="https://docs.vllm.ai/en/stable/design/prefix_caching/" TargetMode="External"/><Relationship Id="rId111" Type="http://schemas.openxmlformats.org/officeDocument/2006/relationships/hyperlink" Target="https://nvidia.github.io/TensorRT-LLM/" TargetMode="External"/><Relationship Id="rId112" Type="http://schemas.openxmlformats.org/officeDocument/2006/relationships/hyperlink" Target="https://github.com/gpu-mode/lectures" TargetMode="External"/><Relationship Id="rId113" Type="http://schemas.openxmlformats.org/officeDocument/2006/relationships/hyperlink" Target="https://www.youtube.com/watch?v=gMOAud7hZg4" TargetMode="External"/><Relationship Id="rId114" Type="http://schemas.openxmlformats.org/officeDocument/2006/relationships/hyperlink" Target="https://www.youtube.com/watch?v=Oq2SN7uutbQ" TargetMode="External"/><Relationship Id="rId115" Type="http://schemas.openxmlformats.org/officeDocument/2006/relationships/hyperlink" Target="https://www.youtube.com/watch?v=S-8yr_RibJ4" TargetMode="External"/><Relationship Id="rId116" Type="http://schemas.openxmlformats.org/officeDocument/2006/relationships/hyperlink" Target="https://www.youtube.com/watch?v=zy8ChVd_oTM" TargetMode="External"/><Relationship Id="rId117" Type="http://schemas.openxmlformats.org/officeDocument/2006/relationships/hyperlink" Target="https://huggingface.co/spaces/nanotron/ultrascale-playbook" TargetMode="External"/><Relationship Id="rId118" Type="http://schemas.openxmlformats.org/officeDocument/2006/relationships/hyperlink" Target="https://magazine.sebastianraschka.com/p/understanding-multimodal-llms" TargetMode="External"/><Relationship Id="rId119" Type="http://schemas.openxmlformats.org/officeDocument/2006/relationships/hyperlink" Target="https://huggingface.co/blog/vlms-2025" TargetMode="External"/><Relationship Id="rId120" Type="http://schemas.openxmlformats.org/officeDocument/2006/relationships/hyperlink" Target="https://github.com/huggingface/nanoVLM" TargetMode="External"/><Relationship Id="rId121" Type="http://schemas.openxmlformats.org/officeDocument/2006/relationships/hyperlink" Target="https://cs336.stanford.edu/lectures/?trace=lecture_07" TargetMode="External"/><Relationship Id="rId122" Type="http://schemas.openxmlformats.org/officeDocument/2006/relationships/hyperlink" Target="https://cs336.stanford.edu/lectures/?trace=lecture_14" TargetMode="External"/><Relationship Id="rId123" Type="http://schemas.openxmlformats.org/officeDocument/2006/relationships/hyperlink" Target="https://github.com/huggingface/picotron" TargetMode="External"/><Relationship Id="rId124" Type="http://schemas.openxmlformats.org/officeDocument/2006/relationships/hyperlink" Target="https://huggingface.co/learn/computer-vision-course/en/unit4/multimodal-models/clip-and-relatives/clip" TargetMode="External"/><Relationship Id="rId125" Type="http://schemas.openxmlformats.org/officeDocument/2006/relationships/hyperlink" Target="https://huggingface.co/blog/manu/colpali" TargetMode="External"/><Relationship Id="rId126" Type="http://schemas.openxmlformats.org/officeDocument/2006/relationships/hyperlink" Target="https://huggingface.co/spaces/HuggingFaceTB/smol-training-playbook" TargetMode="External"/><Relationship Id="rId127" Type="http://schemas.openxmlformats.org/officeDocument/2006/relationships/hyperlink" Target="https://github.com/stas00/ml-engineering" TargetMode="External"/><Relationship Id="rId128" Type="http://schemas.openxmlformats.org/officeDocument/2006/relationships/hyperlink" Target="https://huggingface.co/learn/audio-course/en/chapter6/introduction" TargetMode="External"/><Relationship Id="rId129" Type="http://schemas.openxmlformats.org/officeDocument/2006/relationships/hyperlink" Target="https://cs336.stanford.edu/lectures/?trace=lecture_17" TargetMode="External"/><Relationship Id="rId130" Type="http://schemas.openxmlformats.org/officeDocument/2006/relationships/hyperlink" Target="https://www.youtube.com/watch?v=vAmKB7iPkWw" TargetMode="External"/><Relationship Id="rId131" Type="http://schemas.openxmlformats.org/officeDocument/2006/relationships/hyperlink" Target="https://github.com/anshu8830/anshu/blob/main/curriculum/09-capstone-ai-software-engineer.md" TargetMode="External"/><Relationship Id="rId132" Type="http://schemas.openxmlformats.org/officeDocument/2006/relationships/hyperlink" Target="https://aider.chat/docs/repomap.html" TargetMode="External"/><Relationship Id="rId133" Type="http://schemas.openxmlformats.org/officeDocument/2006/relationships/hyperlink" Target="https://github.com/SWE-bench/SWE-bench" TargetMode="External"/><Relationship Id="rId134" Type="http://schemas.openxmlformats.org/officeDocument/2006/relationships/hyperlink" Target="https://arxiv.org/abs/2406.18665" TargetMode="External"/><Relationship Id="rId135" Type="http://schemas.openxmlformats.org/officeDocument/2006/relationships/hyperlink" Target="https://www.swebench.com/" TargetMode="External"/><Relationship Id="rId136" Type="http://schemas.openxmlformats.org/officeDocument/2006/relationships/hyperlink" Target="https://github.com/anshu8830/anshu/blob/main/curriculum/10-2027-continuation.md" TargetMode="External"/><Relationship Id="rId137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9" min="8" style="0" width="3"/>
  </cols>
  <sheetData>
    <row r="1" customFormat="false" ht="19.7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MIN('Daily Plan'!$B$2:$B$168)</f>
        <v>46293</v>
      </c>
    </row>
    <row r="7" customFormat="false" ht="15" hidden="false" customHeight="false" outlineLevel="0" collapsed="false">
      <c r="A7" s="5" t="s">
        <v>5</v>
      </c>
      <c r="B7" s="6" t="n">
        <f aca="false">MAX('Daily Plan'!$B$2:$B$168)</f>
        <v>46387</v>
      </c>
    </row>
    <row r="8" customFormat="false" ht="15" hidden="false" customHeight="false" outlineLevel="0" collapsed="false">
      <c r="A8" s="5" t="s">
        <v>6</v>
      </c>
      <c r="B8" s="7" t="n">
        <f aca="false">SUMPRODUCT(1/COUNTIF('Daily Plan'!$B$2:$B$168,'Daily Plan'!$B$2:$B$168))</f>
        <v>82</v>
      </c>
    </row>
    <row r="9" customFormat="false" ht="15" hidden="false" customHeight="false" outlineLevel="0" collapsed="false">
      <c r="A9" s="5" t="s">
        <v>7</v>
      </c>
      <c r="B9" s="7" t="n">
        <f aca="false">COUNTA('Daily Plan'!$G$2:$G$168)</f>
        <v>167</v>
      </c>
    </row>
    <row r="10" customFormat="false" ht="15" hidden="false" customHeight="false" outlineLevel="0" collapsed="false">
      <c r="A10" s="5" t="s">
        <v>8</v>
      </c>
      <c r="B10" s="7" t="n">
        <f aca="false">(COUNTIF('Daily Plan'!$L$2:$L$168,"☑")+COUNTIF('Daily Plan'!$L$2:$L$168,TRUE()))</f>
        <v>0</v>
      </c>
    </row>
    <row r="11" customFormat="false" ht="15" hidden="false" customHeight="false" outlineLevel="0" collapsed="false">
      <c r="A11" s="5" t="s">
        <v>9</v>
      </c>
      <c r="B11" s="8" t="n">
        <f aca="false">IFERROR(B10/B9,0)</f>
        <v>0</v>
      </c>
    </row>
    <row r="12" customFormat="false" ht="15" hidden="false" customHeight="false" outlineLevel="0" collapsed="false">
      <c r="A12" s="5" t="s">
        <v>10</v>
      </c>
      <c r="B12" s="9" t="n">
        <f aca="false">SUM('Daily Plan'!$J$2:$J$168)</f>
        <v>290</v>
      </c>
    </row>
    <row r="13" customFormat="false" ht="15" hidden="false" customHeight="false" outlineLevel="0" collapsed="false">
      <c r="A13" s="5" t="s">
        <v>11</v>
      </c>
      <c r="B13" s="9" t="n">
        <f aca="false">SUMIF('Daily Plan'!$L$2:$L$168,"☑",'Daily Plan'!$J$2:$J$168)+SUMIF('Daily Plan'!$L$2:$L$168,TRUE(),'Daily Plan'!$J$2:$J$168)</f>
        <v>0</v>
      </c>
    </row>
    <row r="14" customFormat="false" ht="15" hidden="false" customHeight="false" outlineLevel="0" collapsed="false">
      <c r="A14" s="5" t="s">
        <v>12</v>
      </c>
      <c r="B14" s="8" t="n">
        <f aca="false">IFERROR(B13/B12,0)</f>
        <v>0</v>
      </c>
    </row>
    <row r="15" customFormat="false" ht="15" hidden="false" customHeight="false" outlineLevel="0" collapsed="false">
      <c r="A15" s="5" t="s">
        <v>13</v>
      </c>
      <c r="B15" s="7" t="n">
        <f aca="true">COUNTIF('Daily Plan'!$B$2:$B$168,"&lt;="&amp;TODAY())</f>
        <v>3</v>
      </c>
    </row>
    <row r="16" customFormat="false" ht="15" hidden="false" customHeight="false" outlineLevel="0" collapsed="false">
      <c r="A16" s="5" t="s">
        <v>14</v>
      </c>
      <c r="B16" s="10" t="n">
        <f aca="false">B10-B15</f>
        <v>-3</v>
      </c>
    </row>
    <row r="17" customFormat="false" ht="15" hidden="false" customHeight="false" outlineLevel="0" collapsed="false">
      <c r="A17" s="5" t="s">
        <v>15</v>
      </c>
      <c r="B17" s="7" t="n">
        <f aca="false">(COUNTIF(Projects!$H$2:$H$13,"☑")+COUNTIF(Projects!$H$2:$H$13,TRUE()))</f>
        <v>0</v>
      </c>
    </row>
    <row r="18" customFormat="false" ht="15" hidden="false" customHeight="false" outlineLevel="0" collapsed="false">
      <c r="A18" s="5" t="s">
        <v>16</v>
      </c>
      <c r="B18" s="7" t="n">
        <f aca="false">(COUNTIF(Papers!$N$2:$N$82,"☑")+COUNTIF(Papers!$N$2:$N$82,TRUE()))</f>
        <v>0</v>
      </c>
    </row>
    <row r="19" customFormat="false" ht="15" hidden="false" customHeight="false" outlineLevel="0" collapsed="false">
      <c r="A19" s="11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12" t="s">
        <v>19</v>
      </c>
      <c r="B22" s="12" t="s">
        <v>20</v>
      </c>
      <c r="C22" s="12" t="s">
        <v>21</v>
      </c>
      <c r="D22" s="12" t="s">
        <v>22</v>
      </c>
      <c r="E22" s="12" t="s">
        <v>23</v>
      </c>
      <c r="F22" s="12" t="s">
        <v>24</v>
      </c>
      <c r="G22" s="12" t="s">
        <v>11</v>
      </c>
    </row>
    <row r="23" customFormat="false" ht="15" hidden="false" customHeight="false" outlineLevel="0" collapsed="false">
      <c r="A23" s="5" t="s">
        <v>25</v>
      </c>
      <c r="B23" s="5" t="s">
        <v>26</v>
      </c>
      <c r="C23" s="5" t="n">
        <f aca="false">COUNTIF('Daily Plan'!$E$2:$E$168,B23)</f>
        <v>8</v>
      </c>
      <c r="D23" s="5" t="n">
        <f aca="false">COUNTIFS('Daily Plan'!$E$2:$E$168,B23,'Daily Plan'!$L$2:$L$168,"☑")+COUNTIFS('Daily Plan'!$E$2:$E$168,B23,'Daily Plan'!$L$2:$L$168,TRUE())</f>
        <v>0</v>
      </c>
      <c r="E23" s="13" t="n">
        <f aca="false">IFERROR(D23/C23,0)</f>
        <v>0</v>
      </c>
      <c r="F23" s="14" t="n">
        <f aca="false">SUMIF('Daily Plan'!$E$2:$E$168,B23,'Daily Plan'!$J$2:$J$168)</f>
        <v>10.5</v>
      </c>
      <c r="G23" s="14" t="n">
        <f aca="false">SUMIFS('Daily Plan'!$J$2:$J$168,'Daily Plan'!$E$2:$E$168,B23,'Daily Plan'!$L$2:$L$168,"☑")+SUMIFS('Daily Plan'!$J$2:$J$168,'Daily Plan'!$E$2:$E$168,B23,'Daily Plan'!$L$2:$L$168,TRUE())</f>
        <v>0</v>
      </c>
    </row>
    <row r="24" customFormat="false" ht="15" hidden="false" customHeight="false" outlineLevel="0" collapsed="false">
      <c r="A24" s="5" t="s">
        <v>27</v>
      </c>
      <c r="B24" s="5" t="s">
        <v>28</v>
      </c>
      <c r="C24" s="5" t="n">
        <f aca="false">COUNTIF('Daily Plan'!$E$2:$E$168,B24)</f>
        <v>19</v>
      </c>
      <c r="D24" s="5" t="n">
        <f aca="false">COUNTIFS('Daily Plan'!$E$2:$E$168,B24,'Daily Plan'!$L$2:$L$168,"☑")+COUNTIFS('Daily Plan'!$E$2:$E$168,B24,'Daily Plan'!$L$2:$L$168,TRUE())</f>
        <v>0</v>
      </c>
      <c r="E24" s="13" t="n">
        <f aca="false">IFERROR(D24/C24,0)</f>
        <v>0</v>
      </c>
      <c r="F24" s="14" t="n">
        <f aca="false">SUMIF('Daily Plan'!$E$2:$E$168,B24,'Daily Plan'!$J$2:$J$168)</f>
        <v>34</v>
      </c>
      <c r="G24" s="14" t="n">
        <f aca="false">SUMIFS('Daily Plan'!$J$2:$J$168,'Daily Plan'!$E$2:$E$168,B24,'Daily Plan'!$L$2:$L$168,"☑")+SUMIFS('Daily Plan'!$J$2:$J$168,'Daily Plan'!$E$2:$E$168,B24,'Daily Plan'!$L$2:$L$168,TRUE())</f>
        <v>0</v>
      </c>
    </row>
    <row r="25" customFormat="false" ht="15" hidden="false" customHeight="false" outlineLevel="0" collapsed="false">
      <c r="A25" s="5" t="s">
        <v>29</v>
      </c>
      <c r="B25" s="5" t="s">
        <v>30</v>
      </c>
      <c r="C25" s="5" t="n">
        <f aca="false">COUNTIF('Daily Plan'!$E$2:$E$168,B25)</f>
        <v>16</v>
      </c>
      <c r="D25" s="5" t="n">
        <f aca="false">COUNTIFS('Daily Plan'!$E$2:$E$168,B25,'Daily Plan'!$L$2:$L$168,"☑")+COUNTIFS('Daily Plan'!$E$2:$E$168,B25,'Daily Plan'!$L$2:$L$168,TRUE())</f>
        <v>0</v>
      </c>
      <c r="E25" s="13" t="n">
        <f aca="false">IFERROR(D25/C25,0)</f>
        <v>0</v>
      </c>
      <c r="F25" s="14" t="n">
        <f aca="false">SUMIF('Daily Plan'!$E$2:$E$168,B25,'Daily Plan'!$J$2:$J$168)</f>
        <v>30</v>
      </c>
      <c r="G25" s="14" t="n">
        <f aca="false">SUMIFS('Daily Plan'!$J$2:$J$168,'Daily Plan'!$E$2:$E$168,B25,'Daily Plan'!$L$2:$L$168,"☑")+SUMIFS('Daily Plan'!$J$2:$J$168,'Daily Plan'!$E$2:$E$168,B25,'Daily Plan'!$L$2:$L$168,TRUE())</f>
        <v>0</v>
      </c>
    </row>
    <row r="26" customFormat="false" ht="15" hidden="false" customHeight="false" outlineLevel="0" collapsed="false">
      <c r="A26" s="5" t="s">
        <v>31</v>
      </c>
      <c r="B26" s="5" t="s">
        <v>32</v>
      </c>
      <c r="C26" s="5" t="n">
        <f aca="false">COUNTIF('Daily Plan'!$E$2:$E$168,B26)</f>
        <v>11</v>
      </c>
      <c r="D26" s="5" t="n">
        <f aca="false">COUNTIFS('Daily Plan'!$E$2:$E$168,B26,'Daily Plan'!$L$2:$L$168,"☑")+COUNTIFS('Daily Plan'!$E$2:$E$168,B26,'Daily Plan'!$L$2:$L$168,TRUE())</f>
        <v>0</v>
      </c>
      <c r="E26" s="13" t="n">
        <f aca="false">IFERROR(D26/C26,0)</f>
        <v>0</v>
      </c>
      <c r="F26" s="14" t="n">
        <f aca="false">SUMIF('Daily Plan'!$E$2:$E$168,B26,'Daily Plan'!$J$2:$J$168)</f>
        <v>19</v>
      </c>
      <c r="G26" s="14" t="n">
        <f aca="false">SUMIFS('Daily Plan'!$J$2:$J$168,'Daily Plan'!$E$2:$E$168,B26,'Daily Plan'!$L$2:$L$168,"☑")+SUMIFS('Daily Plan'!$J$2:$J$168,'Daily Plan'!$E$2:$E$168,B26,'Daily Plan'!$L$2:$L$168,TRUE())</f>
        <v>0</v>
      </c>
    </row>
    <row r="27" customFormat="false" ht="15" hidden="false" customHeight="false" outlineLevel="0" collapsed="false">
      <c r="A27" s="5" t="s">
        <v>33</v>
      </c>
      <c r="B27" s="5" t="s">
        <v>34</v>
      </c>
      <c r="C27" s="5" t="n">
        <f aca="false">COUNTIF('Daily Plan'!$E$2:$E$168,B27)</f>
        <v>13</v>
      </c>
      <c r="D27" s="5" t="n">
        <f aca="false">COUNTIFS('Daily Plan'!$E$2:$E$168,B27,'Daily Plan'!$L$2:$L$168,"☑")+COUNTIFS('Daily Plan'!$E$2:$E$168,B27,'Daily Plan'!$L$2:$L$168,TRUE())</f>
        <v>0</v>
      </c>
      <c r="E27" s="13" t="n">
        <f aca="false">IFERROR(D27/C27,0)</f>
        <v>0</v>
      </c>
      <c r="F27" s="14" t="n">
        <f aca="false">SUMIF('Daily Plan'!$E$2:$E$168,B27,'Daily Plan'!$J$2:$J$168)</f>
        <v>20.5</v>
      </c>
      <c r="G27" s="14" t="n">
        <f aca="false">SUMIFS('Daily Plan'!$J$2:$J$168,'Daily Plan'!$E$2:$E$168,B27,'Daily Plan'!$L$2:$L$168,"☑")+SUMIFS('Daily Plan'!$J$2:$J$168,'Daily Plan'!$E$2:$E$168,B27,'Daily Plan'!$L$2:$L$168,TRUE())</f>
        <v>0</v>
      </c>
    </row>
    <row r="28" customFormat="false" ht="15" hidden="false" customHeight="false" outlineLevel="0" collapsed="false">
      <c r="A28" s="5" t="s">
        <v>35</v>
      </c>
      <c r="B28" s="5" t="s">
        <v>36</v>
      </c>
      <c r="C28" s="5" t="n">
        <f aca="false">COUNTIF('Daily Plan'!$E$2:$E$168,B28)</f>
        <v>12</v>
      </c>
      <c r="D28" s="5" t="n">
        <f aca="false">COUNTIFS('Daily Plan'!$E$2:$E$168,B28,'Daily Plan'!$L$2:$L$168,"☑")+COUNTIFS('Daily Plan'!$E$2:$E$168,B28,'Daily Plan'!$L$2:$L$168,TRUE())</f>
        <v>0</v>
      </c>
      <c r="E28" s="13" t="n">
        <f aca="false">IFERROR(D28/C28,0)</f>
        <v>0</v>
      </c>
      <c r="F28" s="14" t="n">
        <f aca="false">SUMIF('Daily Plan'!$E$2:$E$168,B28,'Daily Plan'!$J$2:$J$168)</f>
        <v>20</v>
      </c>
      <c r="G28" s="14" t="n">
        <f aca="false">SUMIFS('Daily Plan'!$J$2:$J$168,'Daily Plan'!$E$2:$E$168,B28,'Daily Plan'!$L$2:$L$168,"☑")+SUMIFS('Daily Plan'!$J$2:$J$168,'Daily Plan'!$E$2:$E$168,B28,'Daily Plan'!$L$2:$L$168,TRUE())</f>
        <v>0</v>
      </c>
    </row>
    <row r="29" customFormat="false" ht="15" hidden="false" customHeight="false" outlineLevel="0" collapsed="false">
      <c r="A29" s="5" t="s">
        <v>37</v>
      </c>
      <c r="B29" s="5" t="s">
        <v>38</v>
      </c>
      <c r="C29" s="5" t="n">
        <f aca="false">COUNTIF('Daily Plan'!$E$2:$E$168,B29)</f>
        <v>12</v>
      </c>
      <c r="D29" s="5" t="n">
        <f aca="false">COUNTIFS('Daily Plan'!$E$2:$E$168,B29,'Daily Plan'!$L$2:$L$168,"☑")+COUNTIFS('Daily Plan'!$E$2:$E$168,B29,'Daily Plan'!$L$2:$L$168,TRUE())</f>
        <v>0</v>
      </c>
      <c r="E29" s="13" t="n">
        <f aca="false">IFERROR(D29/C29,0)</f>
        <v>0</v>
      </c>
      <c r="F29" s="14" t="n">
        <f aca="false">SUMIF('Daily Plan'!$E$2:$E$168,B29,'Daily Plan'!$J$2:$J$168)</f>
        <v>22</v>
      </c>
      <c r="G29" s="14" t="n">
        <f aca="false">SUMIFS('Daily Plan'!$J$2:$J$168,'Daily Plan'!$E$2:$E$168,B29,'Daily Plan'!$L$2:$L$168,"☑")+SUMIFS('Daily Plan'!$J$2:$J$168,'Daily Plan'!$E$2:$E$168,B29,'Daily Plan'!$L$2:$L$168,TRUE())</f>
        <v>0</v>
      </c>
    </row>
    <row r="30" customFormat="false" ht="15" hidden="false" customHeight="false" outlineLevel="0" collapsed="false">
      <c r="A30" s="5" t="s">
        <v>39</v>
      </c>
      <c r="B30" s="5" t="s">
        <v>40</v>
      </c>
      <c r="C30" s="5" t="n">
        <f aca="false">COUNTIF('Daily Plan'!$E$2:$E$168,B30)</f>
        <v>11</v>
      </c>
      <c r="D30" s="5" t="n">
        <f aca="false">COUNTIFS('Daily Plan'!$E$2:$E$168,B30,'Daily Plan'!$L$2:$L$168,"☑")+COUNTIFS('Daily Plan'!$E$2:$E$168,B30,'Daily Plan'!$L$2:$L$168,TRUE())</f>
        <v>0</v>
      </c>
      <c r="E30" s="13" t="n">
        <f aca="false">IFERROR(D30/C30,0)</f>
        <v>0</v>
      </c>
      <c r="F30" s="14" t="n">
        <f aca="false">SUMIF('Daily Plan'!$E$2:$E$168,B30,'Daily Plan'!$J$2:$J$168)</f>
        <v>18</v>
      </c>
      <c r="G30" s="14" t="n">
        <f aca="false">SUMIFS('Daily Plan'!$J$2:$J$168,'Daily Plan'!$E$2:$E$168,B30,'Daily Plan'!$L$2:$L$168,"☑")+SUMIFS('Daily Plan'!$J$2:$J$168,'Daily Plan'!$E$2:$E$168,B30,'Daily Plan'!$L$2:$L$168,TRUE())</f>
        <v>0</v>
      </c>
    </row>
    <row r="31" customFormat="false" ht="15" hidden="false" customHeight="false" outlineLevel="0" collapsed="false">
      <c r="A31" s="5" t="s">
        <v>41</v>
      </c>
      <c r="B31" s="5" t="s">
        <v>42</v>
      </c>
      <c r="C31" s="5" t="n">
        <f aca="false">COUNTIF('Daily Plan'!$E$2:$E$168,B31)</f>
        <v>2</v>
      </c>
      <c r="D31" s="5" t="n">
        <f aca="false">COUNTIFS('Daily Plan'!$E$2:$E$168,B31,'Daily Plan'!$L$2:$L$168,"☑")+COUNTIFS('Daily Plan'!$E$2:$E$168,B31,'Daily Plan'!$L$2:$L$168,TRUE())</f>
        <v>0</v>
      </c>
      <c r="E31" s="13" t="n">
        <f aca="false">IFERROR(D31/C31,0)</f>
        <v>0</v>
      </c>
      <c r="F31" s="14" t="n">
        <f aca="false">SUMIF('Daily Plan'!$E$2:$E$168,B31,'Daily Plan'!$J$2:$J$168)</f>
        <v>3.5</v>
      </c>
      <c r="G31" s="14" t="n">
        <f aca="false">SUMIFS('Daily Plan'!$J$2:$J$168,'Daily Plan'!$E$2:$E$168,B31,'Daily Plan'!$L$2:$L$168,"☑")+SUMIFS('Daily Plan'!$J$2:$J$168,'Daily Plan'!$E$2:$E$168,B31,'Daily Plan'!$L$2:$L$168,TRUE())</f>
        <v>0</v>
      </c>
    </row>
    <row r="32" customFormat="false" ht="15" hidden="false" customHeight="false" outlineLevel="0" collapsed="false">
      <c r="A32" s="5" t="s">
        <v>43</v>
      </c>
      <c r="B32" s="5" t="s">
        <v>44</v>
      </c>
      <c r="C32" s="5" t="n">
        <f aca="false">COUNTIF('Daily Plan'!$E$2:$E$168,B32)</f>
        <v>12</v>
      </c>
      <c r="D32" s="5" t="n">
        <f aca="false">COUNTIFS('Daily Plan'!$E$2:$E$168,B32,'Daily Plan'!$L$2:$L$168,"☑")+COUNTIFS('Daily Plan'!$E$2:$E$168,B32,'Daily Plan'!$L$2:$L$168,TRUE())</f>
        <v>0</v>
      </c>
      <c r="E32" s="13" t="n">
        <f aca="false">IFERROR(D32/C32,0)</f>
        <v>0</v>
      </c>
      <c r="F32" s="14" t="n">
        <f aca="false">SUMIF('Daily Plan'!$E$2:$E$168,B32,'Daily Plan'!$J$2:$J$168)</f>
        <v>19</v>
      </c>
      <c r="G32" s="14" t="n">
        <f aca="false">SUMIFS('Daily Plan'!$J$2:$J$168,'Daily Plan'!$E$2:$E$168,B32,'Daily Plan'!$L$2:$L$168,"☑")+SUMIFS('Daily Plan'!$J$2:$J$168,'Daily Plan'!$E$2:$E$168,B32,'Daily Plan'!$L$2:$L$168,TRUE())</f>
        <v>0</v>
      </c>
    </row>
    <row r="33" customFormat="false" ht="15" hidden="false" customHeight="false" outlineLevel="0" collapsed="false">
      <c r="A33" s="5" t="s">
        <v>45</v>
      </c>
      <c r="B33" s="5" t="s">
        <v>46</v>
      </c>
      <c r="C33" s="5" t="n">
        <f aca="false">COUNTIF('Daily Plan'!$E$2:$E$168,B33)</f>
        <v>8</v>
      </c>
      <c r="D33" s="5" t="n">
        <f aca="false">COUNTIFS('Daily Plan'!$E$2:$E$168,B33,'Daily Plan'!$L$2:$L$168,"☑")+COUNTIFS('Daily Plan'!$E$2:$E$168,B33,'Daily Plan'!$L$2:$L$168,TRUE())</f>
        <v>0</v>
      </c>
      <c r="E33" s="13" t="n">
        <f aca="false">IFERROR(D33/C33,0)</f>
        <v>0</v>
      </c>
      <c r="F33" s="14" t="n">
        <f aca="false">SUMIF('Daily Plan'!$E$2:$E$168,B33,'Daily Plan'!$J$2:$J$168)</f>
        <v>14.5</v>
      </c>
      <c r="G33" s="14" t="n">
        <f aca="false">SUMIFS('Daily Plan'!$J$2:$J$168,'Daily Plan'!$E$2:$E$168,B33,'Daily Plan'!$L$2:$L$168,"☑")+SUMIFS('Daily Plan'!$J$2:$J$168,'Daily Plan'!$E$2:$E$168,B33,'Daily Plan'!$L$2:$L$168,TRUE())</f>
        <v>0</v>
      </c>
    </row>
    <row r="34" customFormat="false" ht="15" hidden="false" customHeight="false" outlineLevel="0" collapsed="false">
      <c r="A34" s="5" t="s">
        <v>47</v>
      </c>
      <c r="B34" s="5" t="s">
        <v>48</v>
      </c>
      <c r="C34" s="5" t="n">
        <f aca="false">COUNTIF('Daily Plan'!$E$2:$E$168,B34)</f>
        <v>5</v>
      </c>
      <c r="D34" s="5" t="n">
        <f aca="false">COUNTIFS('Daily Plan'!$E$2:$E$168,B34,'Daily Plan'!$L$2:$L$168,"☑")+COUNTIFS('Daily Plan'!$E$2:$E$168,B34,'Daily Plan'!$L$2:$L$168,TRUE())</f>
        <v>0</v>
      </c>
      <c r="E34" s="13" t="n">
        <f aca="false">IFERROR(D34/C34,0)</f>
        <v>0</v>
      </c>
      <c r="F34" s="14" t="n">
        <f aca="false">SUMIF('Daily Plan'!$E$2:$E$168,B34,'Daily Plan'!$J$2:$J$168)</f>
        <v>8.5</v>
      </c>
      <c r="G34" s="14" t="n">
        <f aca="false">SUMIFS('Daily Plan'!$J$2:$J$168,'Daily Plan'!$E$2:$E$168,B34,'Daily Plan'!$L$2:$L$168,"☑")+SUMIFS('Daily Plan'!$J$2:$J$168,'Daily Plan'!$E$2:$E$168,B34,'Daily Plan'!$L$2:$L$168,TRUE())</f>
        <v>0</v>
      </c>
    </row>
    <row r="35" customFormat="false" ht="15" hidden="false" customHeight="false" outlineLevel="0" collapsed="false">
      <c r="A35" s="5" t="s">
        <v>49</v>
      </c>
      <c r="B35" s="5" t="s">
        <v>50</v>
      </c>
      <c r="C35" s="5" t="n">
        <f aca="false">COUNTIF('Daily Plan'!$E$2:$E$168,B35)</f>
        <v>10</v>
      </c>
      <c r="D35" s="5" t="n">
        <f aca="false">COUNTIFS('Daily Plan'!$E$2:$E$168,B35,'Daily Plan'!$L$2:$L$168,"☑")+COUNTIFS('Daily Plan'!$E$2:$E$168,B35,'Daily Plan'!$L$2:$L$168,TRUE())</f>
        <v>0</v>
      </c>
      <c r="E35" s="13" t="n">
        <f aca="false">IFERROR(D35/C35,0)</f>
        <v>0</v>
      </c>
      <c r="F35" s="14" t="n">
        <f aca="false">SUMIF('Daily Plan'!$E$2:$E$168,B35,'Daily Plan'!$J$2:$J$168)</f>
        <v>15</v>
      </c>
      <c r="G35" s="14" t="n">
        <f aca="false">SUMIFS('Daily Plan'!$J$2:$J$168,'Daily Plan'!$E$2:$E$168,B35,'Daily Plan'!$L$2:$L$168,"☑")+SUMIFS('Daily Plan'!$J$2:$J$168,'Daily Plan'!$E$2:$E$168,B35,'Daily Plan'!$L$2:$L$168,TRUE())</f>
        <v>0</v>
      </c>
    </row>
    <row r="36" customFormat="false" ht="15" hidden="false" customHeight="false" outlineLevel="0" collapsed="false">
      <c r="A36" s="5" t="s">
        <v>51</v>
      </c>
      <c r="B36" s="5" t="s">
        <v>52</v>
      </c>
      <c r="C36" s="5" t="n">
        <f aca="false">COUNTIF('Daily Plan'!$E$2:$E$168,B36)</f>
        <v>18</v>
      </c>
      <c r="D36" s="5" t="n">
        <f aca="false">COUNTIFS('Daily Plan'!$E$2:$E$168,B36,'Daily Plan'!$L$2:$L$168,"☑")+COUNTIFS('Daily Plan'!$E$2:$E$168,B36,'Daily Plan'!$L$2:$L$168,TRUE())</f>
        <v>0</v>
      </c>
      <c r="E36" s="13" t="n">
        <f aca="false">IFERROR(D36/C36,0)</f>
        <v>0</v>
      </c>
      <c r="F36" s="14" t="n">
        <f aca="false">SUMIF('Daily Plan'!$E$2:$E$168,B36,'Daily Plan'!$J$2:$J$168)</f>
        <v>28.5</v>
      </c>
      <c r="G36" s="14" t="n">
        <f aca="false">SUMIFS('Daily Plan'!$J$2:$J$168,'Daily Plan'!$E$2:$E$168,B36,'Daily Plan'!$L$2:$L$168,"☑")+SUMIFS('Daily Plan'!$J$2:$J$168,'Daily Plan'!$E$2:$E$168,B36,'Daily Plan'!$L$2:$L$168,TRUE())</f>
        <v>0</v>
      </c>
    </row>
    <row r="37" customFormat="false" ht="15" hidden="false" customHeight="false" outlineLevel="0" collapsed="false">
      <c r="A37" s="5" t="s">
        <v>53</v>
      </c>
      <c r="B37" s="5" t="s">
        <v>54</v>
      </c>
      <c r="C37" s="5" t="n">
        <f aca="false">COUNTIF('Daily Plan'!$E$2:$E$168,B37)</f>
        <v>10</v>
      </c>
      <c r="D37" s="5" t="n">
        <f aca="false">COUNTIFS('Daily Plan'!$E$2:$E$168,B37,'Daily Plan'!$L$2:$L$168,"☑")+COUNTIFS('Daily Plan'!$E$2:$E$168,B37,'Daily Plan'!$L$2:$L$168,TRUE())</f>
        <v>0</v>
      </c>
      <c r="E37" s="13" t="n">
        <f aca="false">IFERROR(D37/C37,0)</f>
        <v>0</v>
      </c>
      <c r="F37" s="14" t="n">
        <f aca="false">SUMIF('Daily Plan'!$E$2:$E$168,B37,'Daily Plan'!$J$2:$J$168)</f>
        <v>27</v>
      </c>
      <c r="G37" s="14" t="n">
        <f aca="false">SUMIFS('Daily Plan'!$J$2:$J$168,'Daily Plan'!$E$2:$E$168,B37,'Daily Plan'!$L$2:$L$168,"☑")+SUMIFS('Daily Plan'!$J$2:$J$168,'Daily Plan'!$E$2:$E$168,B37,'Daily Plan'!$L$2:$L$168,TRUE())</f>
        <v>0</v>
      </c>
    </row>
    <row r="39" customFormat="false" ht="15" hidden="false" customHeight="false" outlineLevel="0" collapsed="false">
      <c r="A39" s="4" t="s">
        <v>55</v>
      </c>
    </row>
    <row r="40" customFormat="false" ht="15" hidden="false" customHeight="false" outlineLevel="0" collapsed="false">
      <c r="A40" s="12" t="s">
        <v>56</v>
      </c>
      <c r="B40" s="12" t="s">
        <v>57</v>
      </c>
      <c r="C40" s="12" t="s">
        <v>58</v>
      </c>
      <c r="D40" s="12" t="s">
        <v>21</v>
      </c>
      <c r="E40" s="12" t="s">
        <v>22</v>
      </c>
      <c r="F40" s="12" t="s">
        <v>23</v>
      </c>
      <c r="G40" s="12" t="s">
        <v>24</v>
      </c>
    </row>
    <row r="41" customFormat="false" ht="15" hidden="false" customHeight="false" outlineLevel="0" collapsed="false">
      <c r="A41" s="15" t="s">
        <v>59</v>
      </c>
      <c r="B41" s="15" t="s">
        <v>60</v>
      </c>
      <c r="C41" s="16" t="n">
        <v>46293</v>
      </c>
      <c r="D41" s="15" t="n">
        <f aca="false">COUNTIF('Daily Plan'!$D$2:$D$168,B41)</f>
        <v>15</v>
      </c>
      <c r="E41" s="15" t="n">
        <f aca="false">COUNTIFS('Daily Plan'!$D$2:$D$168,B41,'Daily Plan'!$L$2:$L$168,"☑")+COUNTIFS('Daily Plan'!$D$2:$D$168,B41,'Daily Plan'!$L$2:$L$168,TRUE())</f>
        <v>0</v>
      </c>
      <c r="F41" s="17" t="n">
        <f aca="false">IFERROR(E41/D41,0)</f>
        <v>0</v>
      </c>
      <c r="G41" s="18" t="n">
        <f aca="false">SUMIF('Daily Plan'!$D$2:$D$168,B41,'Daily Plan'!$J$2:$J$168)</f>
        <v>21.5</v>
      </c>
    </row>
    <row r="42" customFormat="false" ht="15" hidden="false" customHeight="false" outlineLevel="0" collapsed="false">
      <c r="A42" s="15" t="s">
        <v>61</v>
      </c>
      <c r="B42" s="15" t="s">
        <v>62</v>
      </c>
      <c r="C42" s="16" t="n">
        <v>46300</v>
      </c>
      <c r="D42" s="15" t="n">
        <f aca="false">COUNTIF('Daily Plan'!$D$2:$D$168,B42)</f>
        <v>13</v>
      </c>
      <c r="E42" s="15" t="n">
        <f aca="false">COUNTIFS('Daily Plan'!$D$2:$D$168,B42,'Daily Plan'!$L$2:$L$168,"☑")+COUNTIFS('Daily Plan'!$D$2:$D$168,B42,'Daily Plan'!$L$2:$L$168,TRUE())</f>
        <v>0</v>
      </c>
      <c r="F42" s="17" t="n">
        <f aca="false">IFERROR(E42/D42,0)</f>
        <v>0</v>
      </c>
      <c r="G42" s="18" t="n">
        <f aca="false">SUMIF('Daily Plan'!$D$2:$D$168,B42,'Daily Plan'!$J$2:$J$168)</f>
        <v>21.5</v>
      </c>
    </row>
    <row r="43" customFormat="false" ht="15" hidden="false" customHeight="false" outlineLevel="0" collapsed="false">
      <c r="A43" s="15" t="s">
        <v>63</v>
      </c>
      <c r="B43" s="15" t="s">
        <v>64</v>
      </c>
      <c r="C43" s="16" t="n">
        <v>46307</v>
      </c>
      <c r="D43" s="15" t="n">
        <f aca="false">COUNTIF('Daily Plan'!$D$2:$D$168,B43)</f>
        <v>11</v>
      </c>
      <c r="E43" s="15" t="n">
        <f aca="false">COUNTIFS('Daily Plan'!$D$2:$D$168,B43,'Daily Plan'!$L$2:$L$168,"☑")+COUNTIFS('Daily Plan'!$D$2:$D$168,B43,'Daily Plan'!$L$2:$L$168,TRUE())</f>
        <v>0</v>
      </c>
      <c r="F43" s="17" t="n">
        <f aca="false">IFERROR(E43/D43,0)</f>
        <v>0</v>
      </c>
      <c r="G43" s="18" t="n">
        <f aca="false">SUMIF('Daily Plan'!$D$2:$D$168,B43,'Daily Plan'!$J$2:$J$168)</f>
        <v>21.5</v>
      </c>
    </row>
    <row r="44" customFormat="false" ht="15" hidden="false" customHeight="false" outlineLevel="0" collapsed="false">
      <c r="A44" s="15" t="s">
        <v>65</v>
      </c>
      <c r="B44" s="15" t="s">
        <v>66</v>
      </c>
      <c r="C44" s="16" t="n">
        <v>46314</v>
      </c>
      <c r="D44" s="15" t="n">
        <f aca="false">COUNTIF('Daily Plan'!$D$2:$D$168,B44)</f>
        <v>13</v>
      </c>
      <c r="E44" s="15" t="n">
        <f aca="false">COUNTIFS('Daily Plan'!$D$2:$D$168,B44,'Daily Plan'!$L$2:$L$168,"☑")+COUNTIFS('Daily Plan'!$D$2:$D$168,B44,'Daily Plan'!$L$2:$L$168,TRUE())</f>
        <v>0</v>
      </c>
      <c r="F44" s="17" t="n">
        <f aca="false">IFERROR(E44/D44,0)</f>
        <v>0</v>
      </c>
      <c r="G44" s="18" t="n">
        <f aca="false">SUMIF('Daily Plan'!$D$2:$D$168,B44,'Daily Plan'!$J$2:$J$168)</f>
        <v>21.5</v>
      </c>
    </row>
    <row r="45" customFormat="false" ht="15" hidden="false" customHeight="false" outlineLevel="0" collapsed="false">
      <c r="A45" s="15" t="s">
        <v>67</v>
      </c>
      <c r="B45" s="15" t="s">
        <v>68</v>
      </c>
      <c r="C45" s="16" t="n">
        <v>46321</v>
      </c>
      <c r="D45" s="15" t="n">
        <f aca="false">COUNTIF('Daily Plan'!$D$2:$D$168,B45)</f>
        <v>12</v>
      </c>
      <c r="E45" s="15" t="n">
        <f aca="false">COUNTIFS('Daily Plan'!$D$2:$D$168,B45,'Daily Plan'!$L$2:$L$168,"☑")+COUNTIFS('Daily Plan'!$D$2:$D$168,B45,'Daily Plan'!$L$2:$L$168,TRUE())</f>
        <v>0</v>
      </c>
      <c r="F45" s="17" t="n">
        <f aca="false">IFERROR(E45/D45,0)</f>
        <v>0</v>
      </c>
      <c r="G45" s="18" t="n">
        <f aca="false">SUMIF('Daily Plan'!$D$2:$D$168,B45,'Daily Plan'!$J$2:$J$168)</f>
        <v>21.5</v>
      </c>
    </row>
    <row r="46" customFormat="false" ht="15" hidden="false" customHeight="false" outlineLevel="0" collapsed="false">
      <c r="A46" s="15" t="s">
        <v>69</v>
      </c>
      <c r="B46" s="15" t="s">
        <v>70</v>
      </c>
      <c r="C46" s="16" t="n">
        <v>46328</v>
      </c>
      <c r="D46" s="15" t="n">
        <f aca="false">COUNTIF('Daily Plan'!$D$2:$D$168,B46)</f>
        <v>14</v>
      </c>
      <c r="E46" s="15" t="n">
        <f aca="false">COUNTIFS('Daily Plan'!$D$2:$D$168,B46,'Daily Plan'!$L$2:$L$168,"☑")+COUNTIFS('Daily Plan'!$D$2:$D$168,B46,'Daily Plan'!$L$2:$L$168,TRUE())</f>
        <v>0</v>
      </c>
      <c r="F46" s="17" t="n">
        <f aca="false">IFERROR(E46/D46,0)</f>
        <v>0</v>
      </c>
      <c r="G46" s="18" t="n">
        <f aca="false">SUMIF('Daily Plan'!$D$2:$D$168,B46,'Daily Plan'!$J$2:$J$168)</f>
        <v>21.5</v>
      </c>
    </row>
    <row r="47" customFormat="false" ht="15" hidden="false" customHeight="false" outlineLevel="0" collapsed="false">
      <c r="A47" s="15" t="s">
        <v>71</v>
      </c>
      <c r="B47" s="15" t="s">
        <v>72</v>
      </c>
      <c r="C47" s="16" t="n">
        <v>46335</v>
      </c>
      <c r="D47" s="15" t="n">
        <f aca="false">COUNTIF('Daily Plan'!$D$2:$D$168,B47)</f>
        <v>13</v>
      </c>
      <c r="E47" s="15" t="n">
        <f aca="false">COUNTIFS('Daily Plan'!$D$2:$D$168,B47,'Daily Plan'!$L$2:$L$168,"☑")+COUNTIFS('Daily Plan'!$D$2:$D$168,B47,'Daily Plan'!$L$2:$L$168,TRUE())</f>
        <v>0</v>
      </c>
      <c r="F47" s="17" t="n">
        <f aca="false">IFERROR(E47/D47,0)</f>
        <v>0</v>
      </c>
      <c r="G47" s="18" t="n">
        <f aca="false">SUMIF('Daily Plan'!$D$2:$D$168,B47,'Daily Plan'!$J$2:$J$168)</f>
        <v>21.5</v>
      </c>
    </row>
    <row r="48" customFormat="false" ht="15" hidden="false" customHeight="false" outlineLevel="0" collapsed="false">
      <c r="A48" s="15" t="s">
        <v>73</v>
      </c>
      <c r="B48" s="15" t="s">
        <v>74</v>
      </c>
      <c r="C48" s="16" t="n">
        <v>46342</v>
      </c>
      <c r="D48" s="15" t="n">
        <f aca="false">COUNTIF('Daily Plan'!$D$2:$D$168,B48)</f>
        <v>11</v>
      </c>
      <c r="E48" s="15" t="n">
        <f aca="false">COUNTIFS('Daily Plan'!$D$2:$D$168,B48,'Daily Plan'!$L$2:$L$168,"☑")+COUNTIFS('Daily Plan'!$D$2:$D$168,B48,'Daily Plan'!$L$2:$L$168,TRUE())</f>
        <v>0</v>
      </c>
      <c r="F48" s="17" t="n">
        <f aca="false">IFERROR(E48/D48,0)</f>
        <v>0</v>
      </c>
      <c r="G48" s="18" t="n">
        <f aca="false">SUMIF('Daily Plan'!$D$2:$D$168,B48,'Daily Plan'!$J$2:$J$168)</f>
        <v>21.5</v>
      </c>
    </row>
    <row r="49" customFormat="false" ht="15" hidden="false" customHeight="false" outlineLevel="0" collapsed="false">
      <c r="A49" s="15" t="s">
        <v>75</v>
      </c>
      <c r="B49" s="15" t="s">
        <v>76</v>
      </c>
      <c r="C49" s="16" t="n">
        <v>46349</v>
      </c>
      <c r="D49" s="15" t="n">
        <f aca="false">COUNTIF('Daily Plan'!$D$2:$D$168,B49)</f>
        <v>13</v>
      </c>
      <c r="E49" s="15" t="n">
        <f aca="false">COUNTIFS('Daily Plan'!$D$2:$D$168,B49,'Daily Plan'!$L$2:$L$168,"☑")+COUNTIFS('Daily Plan'!$D$2:$D$168,B49,'Daily Plan'!$L$2:$L$168,TRUE())</f>
        <v>0</v>
      </c>
      <c r="F49" s="17" t="n">
        <f aca="false">IFERROR(E49/D49,0)</f>
        <v>0</v>
      </c>
      <c r="G49" s="18" t="n">
        <f aca="false">SUMIF('Daily Plan'!$D$2:$D$168,B49,'Daily Plan'!$J$2:$J$168)</f>
        <v>21.5</v>
      </c>
    </row>
    <row r="50" customFormat="false" ht="15" hidden="false" customHeight="false" outlineLevel="0" collapsed="false">
      <c r="A50" s="15" t="s">
        <v>77</v>
      </c>
      <c r="B50" s="15" t="s">
        <v>78</v>
      </c>
      <c r="C50" s="16" t="n">
        <v>46356</v>
      </c>
      <c r="D50" s="15" t="n">
        <f aca="false">COUNTIF('Daily Plan'!$D$2:$D$168,B50)</f>
        <v>13</v>
      </c>
      <c r="E50" s="15" t="n">
        <f aca="false">COUNTIFS('Daily Plan'!$D$2:$D$168,B50,'Daily Plan'!$L$2:$L$168,"☑")+COUNTIFS('Daily Plan'!$D$2:$D$168,B50,'Daily Plan'!$L$2:$L$168,TRUE())</f>
        <v>0</v>
      </c>
      <c r="F50" s="17" t="n">
        <f aca="false">IFERROR(E50/D50,0)</f>
        <v>0</v>
      </c>
      <c r="G50" s="18" t="n">
        <f aca="false">SUMIF('Daily Plan'!$D$2:$D$168,B50,'Daily Plan'!$J$2:$J$168)</f>
        <v>21.5</v>
      </c>
    </row>
    <row r="51" customFormat="false" ht="15" hidden="false" customHeight="false" outlineLevel="0" collapsed="false">
      <c r="A51" s="15" t="s">
        <v>79</v>
      </c>
      <c r="B51" s="15" t="s">
        <v>80</v>
      </c>
      <c r="C51" s="16" t="n">
        <v>46363</v>
      </c>
      <c r="D51" s="15" t="n">
        <f aca="false">COUNTIF('Daily Plan'!$D$2:$D$168,B51)</f>
        <v>14</v>
      </c>
      <c r="E51" s="15" t="n">
        <f aca="false">COUNTIFS('Daily Plan'!$D$2:$D$168,B51,'Daily Plan'!$L$2:$L$168,"☑")+COUNTIFS('Daily Plan'!$D$2:$D$168,B51,'Daily Plan'!$L$2:$L$168,TRUE())</f>
        <v>0</v>
      </c>
      <c r="F51" s="17" t="n">
        <f aca="false">IFERROR(E51/D51,0)</f>
        <v>0</v>
      </c>
      <c r="G51" s="18" t="n">
        <f aca="false">SUMIF('Daily Plan'!$D$2:$D$168,B51,'Daily Plan'!$J$2:$J$168)</f>
        <v>21.5</v>
      </c>
    </row>
    <row r="52" customFormat="false" ht="15" hidden="false" customHeight="false" outlineLevel="0" collapsed="false">
      <c r="A52" s="15" t="s">
        <v>81</v>
      </c>
      <c r="B52" s="15" t="s">
        <v>82</v>
      </c>
      <c r="C52" s="16" t="n">
        <v>46370</v>
      </c>
      <c r="D52" s="15" t="n">
        <f aca="false">COUNTIF('Daily Plan'!$D$2:$D$168,B52)</f>
        <v>12</v>
      </c>
      <c r="E52" s="15" t="n">
        <f aca="false">COUNTIFS('Daily Plan'!$D$2:$D$168,B52,'Daily Plan'!$L$2:$L$168,"☑")+COUNTIFS('Daily Plan'!$D$2:$D$168,B52,'Daily Plan'!$L$2:$L$168,TRUE())</f>
        <v>0</v>
      </c>
      <c r="F52" s="17" t="n">
        <f aca="false">IFERROR(E52/D52,0)</f>
        <v>0</v>
      </c>
      <c r="G52" s="18" t="n">
        <f aca="false">SUMIF('Daily Plan'!$D$2:$D$168,B52,'Daily Plan'!$J$2:$J$168)</f>
        <v>21.5</v>
      </c>
    </row>
    <row r="53" customFormat="false" ht="15" hidden="false" customHeight="false" outlineLevel="0" collapsed="false">
      <c r="A53" s="15" t="s">
        <v>83</v>
      </c>
      <c r="B53" s="15" t="s">
        <v>84</v>
      </c>
      <c r="C53" s="16" t="n">
        <v>46377</v>
      </c>
      <c r="D53" s="15" t="n">
        <f aca="false">COUNTIF('Daily Plan'!$D$2:$D$168,B53)</f>
        <v>7</v>
      </c>
      <c r="E53" s="15" t="n">
        <f aca="false">COUNTIFS('Daily Plan'!$D$2:$D$168,B53,'Daily Plan'!$L$2:$L$168,"☑")+COUNTIFS('Daily Plan'!$D$2:$D$168,B53,'Daily Plan'!$L$2:$L$168,TRUE())</f>
        <v>0</v>
      </c>
      <c r="F53" s="17" t="n">
        <f aca="false">IFERROR(E53/D53,0)</f>
        <v>0</v>
      </c>
      <c r="G53" s="18" t="n">
        <f aca="false">SUMIF('Daily Plan'!$D$2:$D$168,B53,'Daily Plan'!$J$2:$J$168)</f>
        <v>18</v>
      </c>
    </row>
    <row r="54" customFormat="false" ht="15" hidden="false" customHeight="false" outlineLevel="0" collapsed="false">
      <c r="A54" s="15" t="s">
        <v>85</v>
      </c>
      <c r="B54" s="15" t="s">
        <v>86</v>
      </c>
      <c r="C54" s="16" t="n">
        <v>46384</v>
      </c>
      <c r="D54" s="15" t="n">
        <f aca="false">COUNTIF('Daily Plan'!$D$2:$D$168,B54)</f>
        <v>6</v>
      </c>
      <c r="E54" s="15" t="n">
        <f aca="false">COUNTIFS('Daily Plan'!$D$2:$D$168,B54,'Daily Plan'!$L$2:$L$168,"☑")+COUNTIFS('Daily Plan'!$D$2:$D$168,B54,'Daily Plan'!$L$2:$L$168,TRUE())</f>
        <v>0</v>
      </c>
      <c r="F54" s="17" t="n">
        <f aca="false">IFERROR(E54/D54,0)</f>
        <v>0</v>
      </c>
      <c r="G54" s="18" t="n">
        <f aca="false">SUMIF('Daily Plan'!$D$2:$D$168,B54,'Daily Plan'!$J$2:$J$168)</f>
        <v>14</v>
      </c>
    </row>
    <row r="56" customFormat="false" ht="15" hidden="false" customHeight="false" outlineLevel="0" collapsed="false">
      <c r="A56" s="4" t="s">
        <v>87</v>
      </c>
    </row>
    <row r="57" customFormat="false" ht="15" hidden="false" customHeight="false" outlineLevel="0" collapsed="false">
      <c r="A57" s="19" t="s">
        <v>88</v>
      </c>
      <c r="B57" s="19" t="s">
        <v>89</v>
      </c>
      <c r="C57" s="19"/>
      <c r="D57" s="19"/>
      <c r="E57" s="19"/>
      <c r="F57" s="19"/>
      <c r="G57" s="19"/>
    </row>
    <row r="58" customFormat="false" ht="15" hidden="false" customHeight="true" outlineLevel="0" collapsed="false">
      <c r="A58" s="15" t="s">
        <v>90</v>
      </c>
      <c r="B58" s="20" t="s">
        <v>91</v>
      </c>
      <c r="C58" s="20"/>
      <c r="D58" s="20"/>
      <c r="E58" s="20"/>
      <c r="F58" s="20"/>
      <c r="G58" s="20"/>
    </row>
    <row r="59" customFormat="false" ht="15" hidden="false" customHeight="true" outlineLevel="0" collapsed="false">
      <c r="A59" s="15" t="s">
        <v>92</v>
      </c>
      <c r="B59" s="20" t="s">
        <v>91</v>
      </c>
      <c r="C59" s="20"/>
      <c r="D59" s="20"/>
      <c r="E59" s="20"/>
      <c r="F59" s="20"/>
      <c r="G59" s="20"/>
    </row>
    <row r="60" customFormat="false" ht="15" hidden="false" customHeight="true" outlineLevel="0" collapsed="false">
      <c r="A60" s="15" t="s">
        <v>93</v>
      </c>
      <c r="B60" s="20" t="s">
        <v>91</v>
      </c>
      <c r="C60" s="20"/>
      <c r="D60" s="20"/>
      <c r="E60" s="20"/>
      <c r="F60" s="20"/>
      <c r="G60" s="20"/>
    </row>
    <row r="61" customFormat="false" ht="15" hidden="false" customHeight="true" outlineLevel="0" collapsed="false">
      <c r="A61" s="15" t="s">
        <v>94</v>
      </c>
      <c r="B61" s="20" t="s">
        <v>95</v>
      </c>
      <c r="C61" s="20"/>
      <c r="D61" s="20"/>
      <c r="E61" s="20"/>
      <c r="F61" s="20"/>
      <c r="G61" s="20"/>
    </row>
    <row r="62" customFormat="false" ht="15" hidden="false" customHeight="true" outlineLevel="0" collapsed="false">
      <c r="A62" s="15" t="s">
        <v>96</v>
      </c>
      <c r="B62" s="20" t="s">
        <v>97</v>
      </c>
      <c r="C62" s="20"/>
      <c r="D62" s="20"/>
      <c r="E62" s="20"/>
      <c r="F62" s="20"/>
      <c r="G62" s="20"/>
    </row>
    <row r="63" customFormat="false" ht="15" hidden="false" customHeight="true" outlineLevel="0" collapsed="false">
      <c r="A63" s="15" t="s">
        <v>98</v>
      </c>
      <c r="B63" s="20" t="s">
        <v>99</v>
      </c>
      <c r="C63" s="20"/>
      <c r="D63" s="20"/>
      <c r="E63" s="20"/>
      <c r="F63" s="20"/>
      <c r="G63" s="20"/>
    </row>
    <row r="64" customFormat="false" ht="15" hidden="false" customHeight="true" outlineLevel="0" collapsed="false">
      <c r="A64" s="15" t="s">
        <v>100</v>
      </c>
      <c r="B64" s="20" t="s">
        <v>91</v>
      </c>
      <c r="C64" s="20"/>
      <c r="D64" s="20"/>
      <c r="E64" s="20"/>
      <c r="F64" s="20"/>
      <c r="G64" s="20"/>
    </row>
    <row r="65" customFormat="false" ht="15" hidden="false" customHeight="true" outlineLevel="0" collapsed="false">
      <c r="A65" s="15" t="s">
        <v>101</v>
      </c>
      <c r="B65" s="20" t="s">
        <v>102</v>
      </c>
      <c r="C65" s="20"/>
      <c r="D65" s="20"/>
      <c r="E65" s="20"/>
      <c r="F65" s="20"/>
      <c r="G65" s="20"/>
    </row>
    <row r="66" customFormat="false" ht="15" hidden="false" customHeight="true" outlineLevel="0" collapsed="false">
      <c r="A66" s="15" t="s">
        <v>103</v>
      </c>
      <c r="B66" s="20" t="s">
        <v>104</v>
      </c>
      <c r="C66" s="20"/>
      <c r="D66" s="20"/>
      <c r="E66" s="20"/>
      <c r="F66" s="20"/>
      <c r="G66" s="20"/>
    </row>
    <row r="67" customFormat="false" ht="15" hidden="false" customHeight="true" outlineLevel="0" collapsed="false">
      <c r="A67" s="15" t="s">
        <v>105</v>
      </c>
      <c r="B67" s="20" t="s">
        <v>106</v>
      </c>
      <c r="C67" s="20"/>
      <c r="D67" s="20"/>
      <c r="E67" s="20"/>
      <c r="F67" s="20"/>
      <c r="G67" s="20"/>
    </row>
    <row r="68" customFormat="false" ht="15" hidden="false" customHeight="true" outlineLevel="0" collapsed="false">
      <c r="A68" s="15" t="s">
        <v>107</v>
      </c>
      <c r="B68" s="20" t="s">
        <v>108</v>
      </c>
      <c r="C68" s="20"/>
      <c r="D68" s="20"/>
      <c r="E68" s="20"/>
      <c r="F68" s="20"/>
      <c r="G68" s="20"/>
    </row>
    <row r="69" customFormat="false" ht="15" hidden="false" customHeight="true" outlineLevel="0" collapsed="false">
      <c r="A69" s="15" t="s">
        <v>109</v>
      </c>
      <c r="B69" s="20" t="s">
        <v>110</v>
      </c>
      <c r="C69" s="20"/>
      <c r="D69" s="20"/>
      <c r="E69" s="20"/>
      <c r="F69" s="20"/>
      <c r="G69" s="20"/>
    </row>
    <row r="70" customFormat="false" ht="15" hidden="false" customHeight="true" outlineLevel="0" collapsed="false">
      <c r="A70" s="15" t="s">
        <v>111</v>
      </c>
      <c r="B70" s="20" t="s">
        <v>112</v>
      </c>
      <c r="C70" s="20"/>
      <c r="D70" s="20"/>
      <c r="E70" s="20"/>
      <c r="F70" s="20"/>
      <c r="G70" s="20"/>
    </row>
    <row r="71" customFormat="false" ht="15" hidden="false" customHeight="true" outlineLevel="0" collapsed="false">
      <c r="A71" s="15" t="s">
        <v>113</v>
      </c>
      <c r="B71" s="20" t="s">
        <v>114</v>
      </c>
      <c r="C71" s="20"/>
      <c r="D71" s="20"/>
      <c r="E71" s="20"/>
      <c r="F71" s="20"/>
      <c r="G71" s="20"/>
    </row>
    <row r="72" customFormat="false" ht="15" hidden="false" customHeight="true" outlineLevel="0" collapsed="false">
      <c r="A72" s="15" t="s">
        <v>115</v>
      </c>
      <c r="B72" s="20" t="s">
        <v>116</v>
      </c>
      <c r="C72" s="20"/>
      <c r="D72" s="20"/>
      <c r="E72" s="20"/>
      <c r="F72" s="20"/>
      <c r="G72" s="20"/>
    </row>
    <row r="73" customFormat="false" ht="15" hidden="false" customHeight="true" outlineLevel="0" collapsed="false">
      <c r="A73" s="15" t="s">
        <v>117</v>
      </c>
      <c r="B73" s="20" t="s">
        <v>118</v>
      </c>
      <c r="C73" s="20"/>
      <c r="D73" s="20"/>
      <c r="E73" s="20"/>
      <c r="F73" s="20"/>
      <c r="G73" s="20"/>
    </row>
    <row r="75" customFormat="false" ht="15" hidden="false" customHeight="false" outlineLevel="0" collapsed="false">
      <c r="A75" s="4" t="s">
        <v>119</v>
      </c>
    </row>
    <row r="76" customFormat="false" ht="15" hidden="false" customHeight="false" outlineLevel="0" collapsed="false">
      <c r="A76" s="11" t="s">
        <v>120</v>
      </c>
    </row>
    <row r="77" customFormat="false" ht="15" hidden="false" customHeight="false" outlineLevel="0" collapsed="false">
      <c r="A77" s="12" t="s">
        <v>88</v>
      </c>
      <c r="B77" s="12" t="s">
        <v>19</v>
      </c>
      <c r="C77" s="12" t="s">
        <v>121</v>
      </c>
      <c r="D77" s="12" t="s">
        <v>122</v>
      </c>
      <c r="E77" s="12" t="s">
        <v>123</v>
      </c>
    </row>
    <row r="78" customFormat="false" ht="23.85" hidden="false" customHeight="false" outlineLevel="0" collapsed="false">
      <c r="A78" s="15" t="s">
        <v>124</v>
      </c>
      <c r="B78" s="15" t="s">
        <v>28</v>
      </c>
      <c r="C78" s="21" t="s">
        <v>125</v>
      </c>
      <c r="D78" s="15" t="s">
        <v>60</v>
      </c>
      <c r="E78" s="22"/>
    </row>
    <row r="79" customFormat="false" ht="23.85" hidden="false" customHeight="false" outlineLevel="0" collapsed="false">
      <c r="A79" s="15" t="s">
        <v>126</v>
      </c>
      <c r="B79" s="15" t="s">
        <v>28</v>
      </c>
      <c r="C79" s="21" t="s">
        <v>125</v>
      </c>
      <c r="D79" s="15" t="s">
        <v>62</v>
      </c>
      <c r="E79" s="22"/>
    </row>
    <row r="80" customFormat="false" ht="15" hidden="false" customHeight="false" outlineLevel="0" collapsed="false">
      <c r="A80" s="15" t="s">
        <v>127</v>
      </c>
      <c r="B80" s="15" t="s">
        <v>28</v>
      </c>
      <c r="C80" s="21" t="s">
        <v>125</v>
      </c>
      <c r="D80" s="15" t="s">
        <v>62</v>
      </c>
      <c r="E80" s="22"/>
    </row>
    <row r="81" customFormat="false" ht="15" hidden="false" customHeight="false" outlineLevel="0" collapsed="false">
      <c r="A81" s="15" t="s">
        <v>128</v>
      </c>
      <c r="B81" s="15" t="s">
        <v>28</v>
      </c>
      <c r="C81" s="21" t="s">
        <v>125</v>
      </c>
      <c r="D81" s="15" t="s">
        <v>62</v>
      </c>
      <c r="E81" s="22"/>
    </row>
    <row r="82" customFormat="false" ht="15" hidden="false" customHeight="false" outlineLevel="0" collapsed="false">
      <c r="A82" s="15" t="s">
        <v>129</v>
      </c>
      <c r="B82" s="15" t="s">
        <v>28</v>
      </c>
      <c r="C82" s="23" t="s">
        <v>130</v>
      </c>
      <c r="D82" s="15" t="s">
        <v>66</v>
      </c>
      <c r="E82" s="22"/>
    </row>
    <row r="83" customFormat="false" ht="23.85" hidden="false" customHeight="false" outlineLevel="0" collapsed="false">
      <c r="A83" s="15" t="s">
        <v>131</v>
      </c>
      <c r="B83" s="15" t="s">
        <v>30</v>
      </c>
      <c r="C83" s="21" t="s">
        <v>125</v>
      </c>
      <c r="D83" s="15" t="s">
        <v>64</v>
      </c>
      <c r="E83" s="22"/>
    </row>
    <row r="84" customFormat="false" ht="15" hidden="false" customHeight="false" outlineLevel="0" collapsed="false">
      <c r="A84" s="15" t="s">
        <v>132</v>
      </c>
      <c r="B84" s="15" t="s">
        <v>30</v>
      </c>
      <c r="C84" s="21" t="s">
        <v>125</v>
      </c>
      <c r="D84" s="15" t="s">
        <v>64</v>
      </c>
      <c r="E84" s="22"/>
    </row>
    <row r="85" customFormat="false" ht="15" hidden="false" customHeight="false" outlineLevel="0" collapsed="false">
      <c r="A85" s="15" t="s">
        <v>133</v>
      </c>
      <c r="B85" s="15" t="s">
        <v>30</v>
      </c>
      <c r="C85" s="21" t="s">
        <v>125</v>
      </c>
      <c r="D85" s="15" t="s">
        <v>64</v>
      </c>
      <c r="E85" s="22"/>
    </row>
    <row r="86" customFormat="false" ht="15" hidden="false" customHeight="false" outlineLevel="0" collapsed="false">
      <c r="A86" s="15" t="s">
        <v>134</v>
      </c>
      <c r="B86" s="15" t="s">
        <v>30</v>
      </c>
      <c r="C86" s="21" t="s">
        <v>125</v>
      </c>
      <c r="D86" s="15" t="s">
        <v>66</v>
      </c>
      <c r="E86" s="22"/>
    </row>
    <row r="87" customFormat="false" ht="15" hidden="false" customHeight="false" outlineLevel="0" collapsed="false">
      <c r="A87" s="15" t="s">
        <v>135</v>
      </c>
      <c r="B87" s="15" t="s">
        <v>30</v>
      </c>
      <c r="C87" s="21" t="s">
        <v>125</v>
      </c>
      <c r="D87" s="15" t="s">
        <v>66</v>
      </c>
      <c r="E87" s="22"/>
    </row>
    <row r="88" customFormat="false" ht="15" hidden="false" customHeight="false" outlineLevel="0" collapsed="false">
      <c r="A88" s="15" t="s">
        <v>136</v>
      </c>
      <c r="B88" s="15" t="s">
        <v>137</v>
      </c>
      <c r="C88" s="23" t="s">
        <v>130</v>
      </c>
      <c r="D88" s="15" t="s">
        <v>66</v>
      </c>
      <c r="E88" s="22"/>
    </row>
    <row r="89" customFormat="false" ht="15" hidden="false" customHeight="false" outlineLevel="0" collapsed="false">
      <c r="A89" s="15" t="s">
        <v>138</v>
      </c>
      <c r="B89" s="15" t="s">
        <v>32</v>
      </c>
      <c r="C89" s="21" t="s">
        <v>125</v>
      </c>
      <c r="D89" s="15" t="s">
        <v>68</v>
      </c>
      <c r="E89" s="22"/>
    </row>
    <row r="90" customFormat="false" ht="15" hidden="false" customHeight="false" outlineLevel="0" collapsed="false">
      <c r="A90" s="15" t="s">
        <v>139</v>
      </c>
      <c r="B90" s="15" t="s">
        <v>32</v>
      </c>
      <c r="C90" s="21" t="s">
        <v>125</v>
      </c>
      <c r="D90" s="15" t="s">
        <v>68</v>
      </c>
      <c r="E90" s="22"/>
    </row>
    <row r="91" customFormat="false" ht="15" hidden="false" customHeight="false" outlineLevel="0" collapsed="false">
      <c r="A91" s="15" t="s">
        <v>140</v>
      </c>
      <c r="B91" s="15" t="s">
        <v>32</v>
      </c>
      <c r="C91" s="21" t="s">
        <v>125</v>
      </c>
      <c r="D91" s="15" t="s">
        <v>68</v>
      </c>
      <c r="E91" s="22"/>
    </row>
    <row r="92" customFormat="false" ht="15" hidden="false" customHeight="false" outlineLevel="0" collapsed="false">
      <c r="A92" s="15" t="s">
        <v>141</v>
      </c>
      <c r="B92" s="15" t="s">
        <v>32</v>
      </c>
      <c r="C92" s="23" t="s">
        <v>130</v>
      </c>
      <c r="D92" s="15" t="s">
        <v>68</v>
      </c>
      <c r="E92" s="22"/>
    </row>
    <row r="93" customFormat="false" ht="23.85" hidden="false" customHeight="false" outlineLevel="0" collapsed="false">
      <c r="A93" s="15" t="s">
        <v>142</v>
      </c>
      <c r="B93" s="15" t="s">
        <v>34</v>
      </c>
      <c r="C93" s="21" t="s">
        <v>125</v>
      </c>
      <c r="D93" s="15" t="s">
        <v>70</v>
      </c>
      <c r="E93" s="22"/>
    </row>
    <row r="94" customFormat="false" ht="23.85" hidden="false" customHeight="false" outlineLevel="0" collapsed="false">
      <c r="A94" s="15" t="s">
        <v>143</v>
      </c>
      <c r="B94" s="15" t="s">
        <v>34</v>
      </c>
      <c r="C94" s="21" t="s">
        <v>125</v>
      </c>
      <c r="D94" s="15" t="s">
        <v>70</v>
      </c>
      <c r="E94" s="22"/>
    </row>
    <row r="95" customFormat="false" ht="15" hidden="false" customHeight="false" outlineLevel="0" collapsed="false">
      <c r="A95" s="15" t="s">
        <v>144</v>
      </c>
      <c r="B95" s="15" t="s">
        <v>34</v>
      </c>
      <c r="C95" s="23" t="s">
        <v>130</v>
      </c>
      <c r="D95" s="15" t="s">
        <v>70</v>
      </c>
      <c r="E95" s="22"/>
    </row>
    <row r="96" customFormat="false" ht="15" hidden="false" customHeight="false" outlineLevel="0" collapsed="false">
      <c r="A96" s="15" t="s">
        <v>145</v>
      </c>
      <c r="B96" s="15" t="s">
        <v>34</v>
      </c>
      <c r="C96" s="23" t="s">
        <v>130</v>
      </c>
      <c r="D96" s="15" t="s">
        <v>70</v>
      </c>
      <c r="E96" s="22"/>
    </row>
    <row r="97" customFormat="false" ht="15" hidden="false" customHeight="false" outlineLevel="0" collapsed="false">
      <c r="A97" s="15" t="s">
        <v>146</v>
      </c>
      <c r="B97" s="15" t="s">
        <v>147</v>
      </c>
      <c r="C97" s="21" t="s">
        <v>125</v>
      </c>
      <c r="D97" s="15" t="s">
        <v>148</v>
      </c>
      <c r="E97" s="22"/>
    </row>
    <row r="98" customFormat="false" ht="15" hidden="false" customHeight="false" outlineLevel="0" collapsed="false">
      <c r="A98" s="15" t="s">
        <v>149</v>
      </c>
      <c r="B98" s="15" t="s">
        <v>36</v>
      </c>
      <c r="C98" s="21" t="s">
        <v>125</v>
      </c>
      <c r="D98" s="15" t="s">
        <v>72</v>
      </c>
      <c r="E98" s="22"/>
    </row>
    <row r="99" customFormat="false" ht="23.85" hidden="false" customHeight="false" outlineLevel="0" collapsed="false">
      <c r="A99" s="15" t="s">
        <v>150</v>
      </c>
      <c r="B99" s="15" t="s">
        <v>36</v>
      </c>
      <c r="C99" s="21" t="s">
        <v>125</v>
      </c>
      <c r="D99" s="15" t="s">
        <v>72</v>
      </c>
      <c r="E99" s="22"/>
    </row>
    <row r="100" customFormat="false" ht="15" hidden="false" customHeight="false" outlineLevel="0" collapsed="false">
      <c r="A100" s="15" t="s">
        <v>151</v>
      </c>
      <c r="B100" s="15" t="s">
        <v>36</v>
      </c>
      <c r="C100" s="23" t="s">
        <v>130</v>
      </c>
      <c r="D100" s="15" t="s">
        <v>72</v>
      </c>
      <c r="E100" s="22"/>
    </row>
    <row r="101" customFormat="false" ht="15" hidden="false" customHeight="false" outlineLevel="0" collapsed="false">
      <c r="A101" s="15" t="s">
        <v>152</v>
      </c>
      <c r="B101" s="15" t="s">
        <v>153</v>
      </c>
      <c r="C101" s="23" t="s">
        <v>130</v>
      </c>
      <c r="D101" s="15" t="s">
        <v>154</v>
      </c>
      <c r="E101" s="22"/>
    </row>
    <row r="102" customFormat="false" ht="15" hidden="false" customHeight="false" outlineLevel="0" collapsed="false">
      <c r="A102" s="15" t="s">
        <v>155</v>
      </c>
      <c r="B102" s="15" t="s">
        <v>38</v>
      </c>
      <c r="C102" s="21" t="s">
        <v>125</v>
      </c>
      <c r="D102" s="15" t="s">
        <v>74</v>
      </c>
      <c r="E102" s="22"/>
    </row>
    <row r="103" customFormat="false" ht="15" hidden="false" customHeight="false" outlineLevel="0" collapsed="false">
      <c r="A103" s="15" t="s">
        <v>156</v>
      </c>
      <c r="B103" s="15" t="s">
        <v>38</v>
      </c>
      <c r="C103" s="21" t="s">
        <v>125</v>
      </c>
      <c r="D103" s="15" t="s">
        <v>74</v>
      </c>
      <c r="E103" s="22"/>
    </row>
    <row r="104" customFormat="false" ht="15" hidden="false" customHeight="false" outlineLevel="0" collapsed="false">
      <c r="A104" s="15" t="s">
        <v>157</v>
      </c>
      <c r="B104" s="15" t="s">
        <v>38</v>
      </c>
      <c r="C104" s="21" t="s">
        <v>125</v>
      </c>
      <c r="D104" s="15" t="s">
        <v>74</v>
      </c>
      <c r="E104" s="22"/>
    </row>
    <row r="105" customFormat="false" ht="15" hidden="false" customHeight="false" outlineLevel="0" collapsed="false">
      <c r="A105" s="15" t="s">
        <v>158</v>
      </c>
      <c r="B105" s="15" t="s">
        <v>159</v>
      </c>
      <c r="C105" s="23" t="s">
        <v>130</v>
      </c>
      <c r="D105" s="15" t="s">
        <v>76</v>
      </c>
      <c r="E105" s="22"/>
    </row>
    <row r="106" customFormat="false" ht="15" hidden="false" customHeight="false" outlineLevel="0" collapsed="false">
      <c r="A106" s="15" t="s">
        <v>160</v>
      </c>
      <c r="B106" s="15" t="s">
        <v>38</v>
      </c>
      <c r="C106" s="21" t="s">
        <v>125</v>
      </c>
      <c r="D106" s="15" t="s">
        <v>76</v>
      </c>
      <c r="E106" s="22"/>
    </row>
    <row r="107" customFormat="false" ht="15" hidden="false" customHeight="false" outlineLevel="0" collapsed="false">
      <c r="A107" s="15" t="s">
        <v>161</v>
      </c>
      <c r="B107" s="15" t="s">
        <v>50</v>
      </c>
      <c r="C107" s="23" t="s">
        <v>130</v>
      </c>
      <c r="D107" s="15" t="s">
        <v>76</v>
      </c>
      <c r="E107" s="22"/>
    </row>
    <row r="108" customFormat="false" ht="15" hidden="false" customHeight="false" outlineLevel="0" collapsed="false">
      <c r="A108" s="15" t="s">
        <v>162</v>
      </c>
      <c r="B108" s="15" t="s">
        <v>159</v>
      </c>
      <c r="C108" s="23" t="s">
        <v>130</v>
      </c>
      <c r="D108" s="15" t="s">
        <v>76</v>
      </c>
      <c r="E108" s="22"/>
    </row>
    <row r="109" customFormat="false" ht="15" hidden="false" customHeight="false" outlineLevel="0" collapsed="false">
      <c r="A109" s="15" t="s">
        <v>163</v>
      </c>
      <c r="B109" s="15" t="s">
        <v>40</v>
      </c>
      <c r="C109" s="21" t="s">
        <v>125</v>
      </c>
      <c r="D109" s="15" t="s">
        <v>78</v>
      </c>
      <c r="E109" s="22"/>
    </row>
    <row r="110" customFormat="false" ht="15" hidden="false" customHeight="false" outlineLevel="0" collapsed="false">
      <c r="A110" s="15" t="s">
        <v>164</v>
      </c>
      <c r="B110" s="15" t="s">
        <v>40</v>
      </c>
      <c r="C110" s="21" t="s">
        <v>125</v>
      </c>
      <c r="D110" s="15" t="s">
        <v>78</v>
      </c>
      <c r="E110" s="22"/>
    </row>
    <row r="111" customFormat="false" ht="15" hidden="false" customHeight="false" outlineLevel="0" collapsed="false">
      <c r="A111" s="15" t="s">
        <v>165</v>
      </c>
      <c r="B111" s="15" t="s">
        <v>40</v>
      </c>
      <c r="C111" s="23" t="s">
        <v>130</v>
      </c>
      <c r="D111" s="15" t="s">
        <v>78</v>
      </c>
      <c r="E111" s="22"/>
    </row>
    <row r="112" customFormat="false" ht="23.85" hidden="false" customHeight="false" outlineLevel="0" collapsed="false">
      <c r="A112" s="15" t="s">
        <v>166</v>
      </c>
      <c r="B112" s="15" t="s">
        <v>40</v>
      </c>
      <c r="C112" s="21" t="s">
        <v>125</v>
      </c>
      <c r="D112" s="15" t="s">
        <v>78</v>
      </c>
      <c r="E112" s="22"/>
    </row>
    <row r="113" customFormat="false" ht="23.85" hidden="false" customHeight="false" outlineLevel="0" collapsed="false">
      <c r="A113" s="15" t="s">
        <v>167</v>
      </c>
      <c r="B113" s="15" t="s">
        <v>168</v>
      </c>
      <c r="C113" s="23" t="s">
        <v>130</v>
      </c>
      <c r="D113" s="15" t="s">
        <v>169</v>
      </c>
      <c r="E113" s="22"/>
    </row>
    <row r="114" customFormat="false" ht="23.85" hidden="false" customHeight="false" outlineLevel="0" collapsed="false">
      <c r="A114" s="15" t="s">
        <v>170</v>
      </c>
      <c r="B114" s="15" t="s">
        <v>168</v>
      </c>
      <c r="C114" s="23" t="s">
        <v>130</v>
      </c>
      <c r="D114" s="15" t="s">
        <v>169</v>
      </c>
      <c r="E114" s="22"/>
    </row>
    <row r="115" customFormat="false" ht="23.85" hidden="false" customHeight="false" outlineLevel="0" collapsed="false">
      <c r="A115" s="15" t="s">
        <v>171</v>
      </c>
      <c r="B115" s="15" t="s">
        <v>42</v>
      </c>
      <c r="C115" s="21" t="s">
        <v>125</v>
      </c>
      <c r="D115" s="15" t="s">
        <v>78</v>
      </c>
      <c r="E115" s="22"/>
    </row>
    <row r="116" customFormat="false" ht="23.85" hidden="false" customHeight="false" outlineLevel="0" collapsed="false">
      <c r="A116" s="15" t="s">
        <v>172</v>
      </c>
      <c r="B116" s="15" t="s">
        <v>44</v>
      </c>
      <c r="C116" s="21" t="s">
        <v>125</v>
      </c>
      <c r="D116" s="15" t="s">
        <v>80</v>
      </c>
      <c r="E116" s="22"/>
    </row>
    <row r="117" customFormat="false" ht="15" hidden="false" customHeight="false" outlineLevel="0" collapsed="false">
      <c r="A117" s="15" t="s">
        <v>173</v>
      </c>
      <c r="B117" s="15" t="s">
        <v>44</v>
      </c>
      <c r="C117" s="23" t="s">
        <v>130</v>
      </c>
      <c r="D117" s="15" t="s">
        <v>80</v>
      </c>
      <c r="E117" s="22"/>
    </row>
    <row r="118" customFormat="false" ht="15" hidden="false" customHeight="false" outlineLevel="0" collapsed="false">
      <c r="A118" s="15" t="s">
        <v>174</v>
      </c>
      <c r="B118" s="15" t="s">
        <v>44</v>
      </c>
      <c r="C118" s="21" t="s">
        <v>125</v>
      </c>
      <c r="D118" s="15" t="s">
        <v>80</v>
      </c>
      <c r="E118" s="22"/>
    </row>
    <row r="119" customFormat="false" ht="15" hidden="false" customHeight="false" outlineLevel="0" collapsed="false">
      <c r="A119" s="15" t="s">
        <v>175</v>
      </c>
      <c r="B119" s="15" t="s">
        <v>44</v>
      </c>
      <c r="C119" s="23" t="s">
        <v>130</v>
      </c>
      <c r="D119" s="15" t="s">
        <v>80</v>
      </c>
      <c r="E119" s="22"/>
    </row>
    <row r="120" customFormat="false" ht="15" hidden="false" customHeight="false" outlineLevel="0" collapsed="false">
      <c r="A120" s="15" t="s">
        <v>176</v>
      </c>
      <c r="B120" s="15" t="s">
        <v>44</v>
      </c>
      <c r="C120" s="23" t="s">
        <v>130</v>
      </c>
      <c r="D120" s="15" t="s">
        <v>80</v>
      </c>
      <c r="E120" s="22"/>
    </row>
    <row r="121" customFormat="false" ht="15" hidden="false" customHeight="false" outlineLevel="0" collapsed="false">
      <c r="A121" s="15" t="s">
        <v>177</v>
      </c>
      <c r="B121" s="15" t="s">
        <v>44</v>
      </c>
      <c r="C121" s="23" t="s">
        <v>130</v>
      </c>
      <c r="D121" s="15" t="s">
        <v>80</v>
      </c>
      <c r="E121" s="22"/>
    </row>
    <row r="122" customFormat="false" ht="15" hidden="false" customHeight="false" outlineLevel="0" collapsed="false">
      <c r="A122" s="15" t="s">
        <v>178</v>
      </c>
      <c r="B122" s="15" t="s">
        <v>48</v>
      </c>
      <c r="C122" s="23" t="s">
        <v>130</v>
      </c>
      <c r="D122" s="15" t="s">
        <v>82</v>
      </c>
      <c r="E122" s="22"/>
    </row>
    <row r="123" customFormat="false" ht="15" hidden="false" customHeight="false" outlineLevel="0" collapsed="false">
      <c r="A123" s="15" t="s">
        <v>179</v>
      </c>
      <c r="B123" s="15" t="s">
        <v>48</v>
      </c>
      <c r="C123" s="23" t="s">
        <v>130</v>
      </c>
      <c r="D123" s="15" t="s">
        <v>82</v>
      </c>
      <c r="E123" s="22"/>
    </row>
    <row r="124" customFormat="false" ht="15" hidden="false" customHeight="false" outlineLevel="0" collapsed="false">
      <c r="A124" s="15" t="s">
        <v>180</v>
      </c>
      <c r="B124" s="15" t="s">
        <v>46</v>
      </c>
      <c r="C124" s="23" t="s">
        <v>130</v>
      </c>
      <c r="D124" s="15" t="s">
        <v>82</v>
      </c>
      <c r="E124" s="22"/>
    </row>
    <row r="125" customFormat="false" ht="15" hidden="false" customHeight="false" outlineLevel="0" collapsed="false">
      <c r="A125" s="15" t="s">
        <v>181</v>
      </c>
      <c r="B125" s="15" t="s">
        <v>46</v>
      </c>
      <c r="C125" s="23" t="s">
        <v>130</v>
      </c>
      <c r="D125" s="15" t="s">
        <v>82</v>
      </c>
      <c r="E125" s="22"/>
    </row>
    <row r="126" customFormat="false" ht="15" hidden="false" customHeight="false" outlineLevel="0" collapsed="false">
      <c r="A126" s="15" t="s">
        <v>182</v>
      </c>
      <c r="B126" s="15" t="s">
        <v>46</v>
      </c>
      <c r="C126" s="23" t="s">
        <v>130</v>
      </c>
      <c r="D126" s="15" t="s">
        <v>82</v>
      </c>
      <c r="E126" s="22"/>
    </row>
    <row r="127" customFormat="false" ht="15" hidden="false" customHeight="false" outlineLevel="0" collapsed="false">
      <c r="A127" s="15" t="s">
        <v>183</v>
      </c>
      <c r="B127" s="15" t="s">
        <v>46</v>
      </c>
      <c r="C127" s="23" t="s">
        <v>130</v>
      </c>
      <c r="D127" s="15" t="s">
        <v>82</v>
      </c>
      <c r="E127" s="22"/>
    </row>
    <row r="128" customFormat="false" ht="15" hidden="false" customHeight="false" outlineLevel="0" collapsed="false">
      <c r="A128" s="15" t="s">
        <v>184</v>
      </c>
      <c r="B128" s="15" t="s">
        <v>52</v>
      </c>
      <c r="C128" s="21" t="s">
        <v>125</v>
      </c>
      <c r="D128" s="15" t="s">
        <v>185</v>
      </c>
      <c r="E128" s="22"/>
    </row>
    <row r="129" customFormat="false" ht="15" hidden="false" customHeight="false" outlineLevel="0" collapsed="false">
      <c r="A129" s="15" t="s">
        <v>186</v>
      </c>
      <c r="B129" s="15" t="s">
        <v>54</v>
      </c>
      <c r="C129" s="21" t="s">
        <v>125</v>
      </c>
      <c r="D129" s="15" t="s">
        <v>187</v>
      </c>
      <c r="E129" s="22"/>
    </row>
    <row r="130" customFormat="false" ht="15" hidden="false" customHeight="false" outlineLevel="0" collapsed="false">
      <c r="A130" s="15" t="s">
        <v>188</v>
      </c>
      <c r="B130" s="15" t="s">
        <v>44</v>
      </c>
      <c r="C130" s="24" t="s">
        <v>189</v>
      </c>
      <c r="D130" s="15" t="s">
        <v>190</v>
      </c>
      <c r="E130" s="22"/>
    </row>
    <row r="131" customFormat="false" ht="15" hidden="false" customHeight="false" outlineLevel="0" collapsed="false">
      <c r="A131" s="15" t="s">
        <v>191</v>
      </c>
      <c r="B131" s="15" t="s">
        <v>44</v>
      </c>
      <c r="C131" s="24" t="s">
        <v>189</v>
      </c>
      <c r="D131" s="15" t="s">
        <v>190</v>
      </c>
      <c r="E131" s="22"/>
    </row>
    <row r="132" customFormat="false" ht="15" hidden="false" customHeight="false" outlineLevel="0" collapsed="false">
      <c r="A132" s="15" t="s">
        <v>192</v>
      </c>
      <c r="B132" s="15" t="s">
        <v>48</v>
      </c>
      <c r="C132" s="24" t="s">
        <v>189</v>
      </c>
      <c r="D132" s="15" t="s">
        <v>190</v>
      </c>
      <c r="E132" s="22"/>
    </row>
    <row r="133" customFormat="false" ht="15" hidden="false" customHeight="false" outlineLevel="0" collapsed="false">
      <c r="A133" s="15" t="s">
        <v>193</v>
      </c>
      <c r="B133" s="15" t="s">
        <v>48</v>
      </c>
      <c r="C133" s="24" t="s">
        <v>189</v>
      </c>
      <c r="D133" s="15" t="s">
        <v>190</v>
      </c>
      <c r="E133" s="22"/>
    </row>
    <row r="134" customFormat="false" ht="15" hidden="false" customHeight="false" outlineLevel="0" collapsed="false">
      <c r="A134" s="15" t="s">
        <v>194</v>
      </c>
      <c r="B134" s="15" t="s">
        <v>48</v>
      </c>
      <c r="C134" s="24" t="s">
        <v>189</v>
      </c>
      <c r="D134" s="15" t="s">
        <v>190</v>
      </c>
      <c r="E134" s="22"/>
    </row>
    <row r="135" customFormat="false" ht="15" hidden="false" customHeight="false" outlineLevel="0" collapsed="false">
      <c r="A135" s="15" t="s">
        <v>195</v>
      </c>
      <c r="B135" s="15" t="s">
        <v>50</v>
      </c>
      <c r="C135" s="24" t="s">
        <v>189</v>
      </c>
      <c r="D135" s="15" t="s">
        <v>190</v>
      </c>
      <c r="E135" s="22"/>
    </row>
    <row r="136" customFormat="false" ht="15" hidden="false" customHeight="false" outlineLevel="0" collapsed="false">
      <c r="A136" s="15" t="s">
        <v>196</v>
      </c>
      <c r="B136" s="15" t="s">
        <v>46</v>
      </c>
      <c r="C136" s="24" t="s">
        <v>189</v>
      </c>
      <c r="D136" s="15" t="s">
        <v>197</v>
      </c>
      <c r="E136" s="22"/>
    </row>
    <row r="137" customFormat="false" ht="15" hidden="false" customHeight="false" outlineLevel="0" collapsed="false">
      <c r="A137" s="15" t="s">
        <v>198</v>
      </c>
      <c r="B137" s="15" t="s">
        <v>28</v>
      </c>
      <c r="C137" s="24" t="s">
        <v>189</v>
      </c>
      <c r="D137" s="15" t="s">
        <v>197</v>
      </c>
      <c r="E137" s="22"/>
    </row>
    <row r="138" customFormat="false" ht="15" hidden="false" customHeight="false" outlineLevel="0" collapsed="false">
      <c r="A138" s="15" t="s">
        <v>199</v>
      </c>
      <c r="B138" s="15" t="s">
        <v>52</v>
      </c>
      <c r="C138" s="24" t="s">
        <v>189</v>
      </c>
      <c r="D138" s="15" t="s">
        <v>200</v>
      </c>
      <c r="E138" s="22"/>
    </row>
    <row r="139" customFormat="false" ht="23.85" hidden="false" customHeight="false" outlineLevel="0" collapsed="false">
      <c r="A139" s="15" t="s">
        <v>201</v>
      </c>
      <c r="B139" s="15" t="s">
        <v>40</v>
      </c>
      <c r="C139" s="24" t="s">
        <v>189</v>
      </c>
      <c r="D139" s="15" t="s">
        <v>190</v>
      </c>
      <c r="E139" s="22"/>
    </row>
    <row r="141" customFormat="false" ht="15" hidden="false" customHeight="false" outlineLevel="0" collapsed="false">
      <c r="A141" s="11" t="s">
        <v>202</v>
      </c>
    </row>
  </sheetData>
  <mergeCells count="19">
    <mergeCell ref="A2:G2"/>
    <mergeCell ref="A3:G3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</mergeCells>
  <dataValidations count="1">
    <dataValidation allowBlank="true" errorStyle="stop" operator="between" showDropDown="false" showErrorMessage="false" showInputMessage="false" sqref="E78:E13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70"/>
    <col collapsed="false" customWidth="true" hidden="false" outlineLevel="0" max="9" min="9" style="0" width="32"/>
    <col collapsed="false" customWidth="true" hidden="false" outlineLevel="0" max="10" min="10" style="0" width="7"/>
    <col collapsed="false" customWidth="true" hidden="false" outlineLevel="0" max="11" min="11" style="0" width="26"/>
    <col collapsed="false" customWidth="true" hidden="false" outlineLevel="0" max="12" min="12" style="0" width="7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2" t="s">
        <v>203</v>
      </c>
      <c r="B1" s="12" t="s">
        <v>204</v>
      </c>
      <c r="C1" s="12" t="s">
        <v>205</v>
      </c>
      <c r="D1" s="12" t="s">
        <v>57</v>
      </c>
      <c r="E1" s="12" t="s">
        <v>19</v>
      </c>
      <c r="F1" s="12" t="s">
        <v>206</v>
      </c>
      <c r="G1" s="12" t="s">
        <v>88</v>
      </c>
      <c r="H1" s="12" t="s">
        <v>207</v>
      </c>
      <c r="I1" s="12" t="s">
        <v>208</v>
      </c>
      <c r="J1" s="12" t="s">
        <v>24</v>
      </c>
      <c r="K1" s="12" t="s">
        <v>209</v>
      </c>
      <c r="L1" s="12" t="s">
        <v>22</v>
      </c>
      <c r="M1" s="12" t="s">
        <v>210</v>
      </c>
    </row>
    <row r="2" customFormat="false" ht="23.85" hidden="false" customHeight="false" outlineLevel="0" collapsed="false">
      <c r="A2" s="15" t="n">
        <v>1</v>
      </c>
      <c r="B2" s="25" t="n">
        <v>46293</v>
      </c>
      <c r="C2" s="15" t="s">
        <v>211</v>
      </c>
      <c r="D2" s="15" t="s">
        <v>60</v>
      </c>
      <c r="E2" s="15" t="s">
        <v>26</v>
      </c>
      <c r="F2" s="15" t="s">
        <v>212</v>
      </c>
      <c r="G2" s="26" t="s">
        <v>213</v>
      </c>
      <c r="H2" s="15" t="s">
        <v>214</v>
      </c>
      <c r="I2" s="27" t="s">
        <v>215</v>
      </c>
      <c r="J2" s="15" t="n">
        <v>0.5</v>
      </c>
      <c r="K2" s="15" t="s">
        <v>216</v>
      </c>
      <c r="L2" s="28" t="s">
        <v>217</v>
      </c>
      <c r="M2" s="15"/>
    </row>
    <row r="3" customFormat="false" ht="23.85" hidden="false" customHeight="false" outlineLevel="0" collapsed="false">
      <c r="A3" s="15" t="n">
        <v>2</v>
      </c>
      <c r="B3" s="25" t="n">
        <v>46293</v>
      </c>
      <c r="C3" s="15" t="s">
        <v>211</v>
      </c>
      <c r="D3" s="15" t="s">
        <v>60</v>
      </c>
      <c r="E3" s="15" t="s">
        <v>26</v>
      </c>
      <c r="F3" s="15" t="s">
        <v>218</v>
      </c>
      <c r="G3" s="26" t="s">
        <v>219</v>
      </c>
      <c r="H3" s="15" t="s">
        <v>220</v>
      </c>
      <c r="I3" s="27" t="s">
        <v>221</v>
      </c>
      <c r="J3" s="15" t="n">
        <v>1</v>
      </c>
      <c r="K3" s="15" t="s">
        <v>222</v>
      </c>
      <c r="L3" s="28" t="s">
        <v>217</v>
      </c>
      <c r="M3" s="15"/>
    </row>
    <row r="4" customFormat="false" ht="23.85" hidden="false" customHeight="false" outlineLevel="0" collapsed="false">
      <c r="A4" s="15" t="n">
        <v>3</v>
      </c>
      <c r="B4" s="25" t="n">
        <v>46293</v>
      </c>
      <c r="C4" s="15" t="s">
        <v>211</v>
      </c>
      <c r="D4" s="15" t="s">
        <v>60</v>
      </c>
      <c r="E4" s="15" t="s">
        <v>26</v>
      </c>
      <c r="F4" s="15" t="s">
        <v>223</v>
      </c>
      <c r="G4" s="26" t="s">
        <v>224</v>
      </c>
      <c r="H4" s="15" t="s">
        <v>225</v>
      </c>
      <c r="I4" s="27" t="s">
        <v>226</v>
      </c>
      <c r="J4" s="15" t="n">
        <v>2</v>
      </c>
      <c r="K4" s="15" t="s">
        <v>227</v>
      </c>
      <c r="L4" s="28" t="s">
        <v>217</v>
      </c>
      <c r="M4" s="15"/>
    </row>
    <row r="5" customFormat="false" ht="23.85" hidden="false" customHeight="false" outlineLevel="0" collapsed="false">
      <c r="A5" s="15" t="n">
        <v>4</v>
      </c>
      <c r="B5" s="25" t="n">
        <v>46294</v>
      </c>
      <c r="C5" s="15" t="s">
        <v>228</v>
      </c>
      <c r="D5" s="15" t="s">
        <v>60</v>
      </c>
      <c r="E5" s="15" t="s">
        <v>26</v>
      </c>
      <c r="F5" s="15" t="s">
        <v>229</v>
      </c>
      <c r="G5" s="26" t="s">
        <v>230</v>
      </c>
      <c r="H5" s="15" t="s">
        <v>231</v>
      </c>
      <c r="I5" s="27" t="s">
        <v>232</v>
      </c>
      <c r="J5" s="15" t="n">
        <v>2</v>
      </c>
      <c r="K5" s="15" t="s">
        <v>233</v>
      </c>
      <c r="L5" s="28" t="s">
        <v>217</v>
      </c>
      <c r="M5" s="15"/>
    </row>
    <row r="6" customFormat="false" ht="23.85" hidden="false" customHeight="false" outlineLevel="0" collapsed="false">
      <c r="A6" s="15" t="n">
        <v>5</v>
      </c>
      <c r="B6" s="25" t="n">
        <v>46294</v>
      </c>
      <c r="C6" s="15" t="s">
        <v>228</v>
      </c>
      <c r="D6" s="15" t="s">
        <v>60</v>
      </c>
      <c r="E6" s="15" t="s">
        <v>26</v>
      </c>
      <c r="F6" s="15" t="s">
        <v>223</v>
      </c>
      <c r="G6" s="26" t="s">
        <v>234</v>
      </c>
      <c r="H6" s="15" t="s">
        <v>235</v>
      </c>
      <c r="I6" s="27" t="s">
        <v>236</v>
      </c>
      <c r="J6" s="15" t="n">
        <v>1.5</v>
      </c>
      <c r="K6" s="15" t="s">
        <v>237</v>
      </c>
      <c r="L6" s="28" t="s">
        <v>217</v>
      </c>
      <c r="M6" s="15"/>
    </row>
    <row r="7" customFormat="false" ht="23.85" hidden="false" customHeight="false" outlineLevel="0" collapsed="false">
      <c r="A7" s="15" t="n">
        <v>6</v>
      </c>
      <c r="B7" s="25" t="n">
        <v>46295</v>
      </c>
      <c r="C7" s="15" t="s">
        <v>238</v>
      </c>
      <c r="D7" s="15" t="s">
        <v>60</v>
      </c>
      <c r="E7" s="15" t="s">
        <v>26</v>
      </c>
      <c r="F7" s="15" t="s">
        <v>229</v>
      </c>
      <c r="G7" s="26" t="s">
        <v>239</v>
      </c>
      <c r="H7" s="15" t="s">
        <v>240</v>
      </c>
      <c r="I7" s="27" t="s">
        <v>241</v>
      </c>
      <c r="J7" s="15" t="n">
        <v>1.5</v>
      </c>
      <c r="K7" s="15" t="s">
        <v>242</v>
      </c>
      <c r="L7" s="28" t="s">
        <v>217</v>
      </c>
      <c r="M7" s="15"/>
    </row>
    <row r="8" customFormat="false" ht="23.85" hidden="false" customHeight="false" outlineLevel="0" collapsed="false">
      <c r="A8" s="15" t="n">
        <v>7</v>
      </c>
      <c r="B8" s="25" t="n">
        <v>46295</v>
      </c>
      <c r="C8" s="15" t="s">
        <v>238</v>
      </c>
      <c r="D8" s="15" t="s">
        <v>60</v>
      </c>
      <c r="E8" s="15" t="s">
        <v>26</v>
      </c>
      <c r="F8" s="15" t="s">
        <v>223</v>
      </c>
      <c r="G8" s="26" t="s">
        <v>243</v>
      </c>
      <c r="H8" s="15" t="s">
        <v>244</v>
      </c>
      <c r="I8" s="27" t="s">
        <v>226</v>
      </c>
      <c r="J8" s="15" t="n">
        <v>1</v>
      </c>
      <c r="K8" s="15"/>
      <c r="L8" s="28" t="s">
        <v>217</v>
      </c>
      <c r="M8" s="15"/>
    </row>
    <row r="9" customFormat="false" ht="23.85" hidden="false" customHeight="false" outlineLevel="0" collapsed="false">
      <c r="A9" s="15" t="n">
        <v>8</v>
      </c>
      <c r="B9" s="25" t="n">
        <v>46295</v>
      </c>
      <c r="C9" s="15" t="s">
        <v>238</v>
      </c>
      <c r="D9" s="15" t="s">
        <v>60</v>
      </c>
      <c r="E9" s="15" t="s">
        <v>26</v>
      </c>
      <c r="F9" s="15" t="s">
        <v>20</v>
      </c>
      <c r="G9" s="26" t="s">
        <v>245</v>
      </c>
      <c r="H9" s="15" t="s">
        <v>246</v>
      </c>
      <c r="I9" s="27" t="s">
        <v>226</v>
      </c>
      <c r="J9" s="15" t="n">
        <v>1</v>
      </c>
      <c r="K9" s="15" t="s">
        <v>247</v>
      </c>
      <c r="L9" s="28" t="s">
        <v>217</v>
      </c>
      <c r="M9" s="15"/>
    </row>
    <row r="10" customFormat="false" ht="23.85" hidden="false" customHeight="false" outlineLevel="0" collapsed="false">
      <c r="A10" s="15" t="n">
        <v>9</v>
      </c>
      <c r="B10" s="25" t="n">
        <v>46296</v>
      </c>
      <c r="C10" s="15" t="s">
        <v>248</v>
      </c>
      <c r="D10" s="15" t="s">
        <v>60</v>
      </c>
      <c r="E10" s="15" t="s">
        <v>28</v>
      </c>
      <c r="F10" s="15" t="s">
        <v>229</v>
      </c>
      <c r="G10" s="26" t="s">
        <v>249</v>
      </c>
      <c r="H10" s="15" t="s">
        <v>250</v>
      </c>
      <c r="I10" s="27" t="s">
        <v>251</v>
      </c>
      <c r="J10" s="15" t="n">
        <v>1</v>
      </c>
      <c r="K10" s="15"/>
      <c r="L10" s="28" t="s">
        <v>217</v>
      </c>
      <c r="M10" s="15"/>
    </row>
    <row r="11" customFormat="false" ht="23.85" hidden="false" customHeight="false" outlineLevel="0" collapsed="false">
      <c r="A11" s="15" t="n">
        <v>10</v>
      </c>
      <c r="B11" s="25" t="n">
        <v>46296</v>
      </c>
      <c r="C11" s="15" t="s">
        <v>248</v>
      </c>
      <c r="D11" s="15" t="s">
        <v>60</v>
      </c>
      <c r="E11" s="15" t="s">
        <v>28</v>
      </c>
      <c r="F11" s="15" t="s">
        <v>223</v>
      </c>
      <c r="G11" s="26" t="s">
        <v>252</v>
      </c>
      <c r="H11" s="15" t="s">
        <v>253</v>
      </c>
      <c r="I11" s="27" t="s">
        <v>254</v>
      </c>
      <c r="J11" s="15" t="n">
        <v>1</v>
      </c>
      <c r="K11" s="15" t="s">
        <v>255</v>
      </c>
      <c r="L11" s="28" t="s">
        <v>217</v>
      </c>
      <c r="M11" s="15"/>
    </row>
    <row r="12" customFormat="false" ht="23.85" hidden="false" customHeight="false" outlineLevel="0" collapsed="false">
      <c r="A12" s="15" t="n">
        <v>11</v>
      </c>
      <c r="B12" s="25" t="n">
        <v>46296</v>
      </c>
      <c r="C12" s="15" t="s">
        <v>248</v>
      </c>
      <c r="D12" s="15" t="s">
        <v>60</v>
      </c>
      <c r="E12" s="15" t="s">
        <v>52</v>
      </c>
      <c r="F12" s="15" t="s">
        <v>256</v>
      </c>
      <c r="G12" s="26" t="s">
        <v>257</v>
      </c>
      <c r="H12" s="15" t="s">
        <v>258</v>
      </c>
      <c r="I12" s="27" t="s">
        <v>259</v>
      </c>
      <c r="J12" s="15" t="n">
        <v>1.5</v>
      </c>
      <c r="K12" s="15" t="s">
        <v>260</v>
      </c>
      <c r="L12" s="28" t="s">
        <v>217</v>
      </c>
      <c r="M12" s="15"/>
    </row>
    <row r="13" customFormat="false" ht="17.35" hidden="false" customHeight="false" outlineLevel="0" collapsed="false">
      <c r="A13" s="15" t="n">
        <v>12</v>
      </c>
      <c r="B13" s="25" t="n">
        <v>46297</v>
      </c>
      <c r="C13" s="15" t="s">
        <v>261</v>
      </c>
      <c r="D13" s="15" t="s">
        <v>60</v>
      </c>
      <c r="E13" s="15" t="s">
        <v>28</v>
      </c>
      <c r="F13" s="15" t="s">
        <v>223</v>
      </c>
      <c r="G13" s="26" t="s">
        <v>262</v>
      </c>
      <c r="H13" s="15" t="s">
        <v>263</v>
      </c>
      <c r="I13" s="27" t="s">
        <v>264</v>
      </c>
      <c r="J13" s="15" t="n">
        <v>1</v>
      </c>
      <c r="K13" s="15"/>
      <c r="L13" s="28" t="s">
        <v>217</v>
      </c>
      <c r="M13" s="15"/>
    </row>
    <row r="14" customFormat="false" ht="23.85" hidden="false" customHeight="false" outlineLevel="0" collapsed="false">
      <c r="A14" s="15" t="n">
        <v>13</v>
      </c>
      <c r="B14" s="25" t="n">
        <v>46297</v>
      </c>
      <c r="C14" s="15" t="s">
        <v>261</v>
      </c>
      <c r="D14" s="15" t="s">
        <v>60</v>
      </c>
      <c r="E14" s="15" t="s">
        <v>28</v>
      </c>
      <c r="F14" s="15" t="s">
        <v>20</v>
      </c>
      <c r="G14" s="26" t="s">
        <v>265</v>
      </c>
      <c r="H14" s="15" t="s">
        <v>266</v>
      </c>
      <c r="I14" s="27" t="s">
        <v>264</v>
      </c>
      <c r="J14" s="15" t="n">
        <v>2.5</v>
      </c>
      <c r="K14" s="15" t="s">
        <v>267</v>
      </c>
      <c r="L14" s="28" t="s">
        <v>217</v>
      </c>
      <c r="M14" s="15"/>
    </row>
    <row r="15" customFormat="false" ht="23.85" hidden="false" customHeight="false" outlineLevel="0" collapsed="false">
      <c r="A15" s="15" t="n">
        <v>14</v>
      </c>
      <c r="B15" s="25" t="n">
        <v>46298</v>
      </c>
      <c r="C15" s="15" t="s">
        <v>268</v>
      </c>
      <c r="D15" s="15" t="s">
        <v>60</v>
      </c>
      <c r="E15" s="15" t="s">
        <v>28</v>
      </c>
      <c r="F15" s="15" t="s">
        <v>20</v>
      </c>
      <c r="G15" s="26" t="s">
        <v>269</v>
      </c>
      <c r="H15" s="15" t="s">
        <v>270</v>
      </c>
      <c r="I15" s="27" t="s">
        <v>271</v>
      </c>
      <c r="J15" s="15" t="n">
        <v>2.5</v>
      </c>
      <c r="K15" s="15" t="s">
        <v>272</v>
      </c>
      <c r="L15" s="28" t="s">
        <v>217</v>
      </c>
      <c r="M15" s="15"/>
    </row>
    <row r="16" customFormat="false" ht="23.85" hidden="false" customHeight="false" outlineLevel="0" collapsed="false">
      <c r="A16" s="15" t="n">
        <v>15</v>
      </c>
      <c r="B16" s="25" t="n">
        <v>46298</v>
      </c>
      <c r="C16" s="15" t="s">
        <v>268</v>
      </c>
      <c r="D16" s="15" t="s">
        <v>60</v>
      </c>
      <c r="E16" s="15" t="s">
        <v>28</v>
      </c>
      <c r="F16" s="15" t="s">
        <v>273</v>
      </c>
      <c r="G16" s="26" t="s">
        <v>274</v>
      </c>
      <c r="H16" s="15" t="s">
        <v>275</v>
      </c>
      <c r="I16" s="27" t="s">
        <v>264</v>
      </c>
      <c r="J16" s="15" t="n">
        <v>1.5</v>
      </c>
      <c r="K16" s="15" t="s">
        <v>276</v>
      </c>
      <c r="L16" s="28" t="s">
        <v>217</v>
      </c>
      <c r="M16" s="15"/>
    </row>
    <row r="17" customFormat="false" ht="23.85" hidden="false" customHeight="false" outlineLevel="0" collapsed="false">
      <c r="A17" s="29" t="n">
        <v>16</v>
      </c>
      <c r="B17" s="30" t="n">
        <v>46300</v>
      </c>
      <c r="C17" s="29" t="s">
        <v>211</v>
      </c>
      <c r="D17" s="29" t="s">
        <v>62</v>
      </c>
      <c r="E17" s="29" t="s">
        <v>28</v>
      </c>
      <c r="F17" s="29" t="s">
        <v>229</v>
      </c>
      <c r="G17" s="31" t="s">
        <v>277</v>
      </c>
      <c r="H17" s="29" t="s">
        <v>278</v>
      </c>
      <c r="I17" s="32" t="s">
        <v>279</v>
      </c>
      <c r="J17" s="29" t="n">
        <v>2.5</v>
      </c>
      <c r="K17" s="29" t="s">
        <v>280</v>
      </c>
      <c r="L17" s="33" t="s">
        <v>217</v>
      </c>
      <c r="M17" s="29"/>
    </row>
    <row r="18" customFormat="false" ht="23.85" hidden="false" customHeight="false" outlineLevel="0" collapsed="false">
      <c r="A18" s="29" t="n">
        <v>17</v>
      </c>
      <c r="B18" s="30" t="n">
        <v>46300</v>
      </c>
      <c r="C18" s="29" t="s">
        <v>211</v>
      </c>
      <c r="D18" s="29" t="s">
        <v>62</v>
      </c>
      <c r="E18" s="29" t="s">
        <v>28</v>
      </c>
      <c r="F18" s="29" t="s">
        <v>223</v>
      </c>
      <c r="G18" s="31" t="s">
        <v>281</v>
      </c>
      <c r="H18" s="29" t="s">
        <v>282</v>
      </c>
      <c r="I18" s="32" t="s">
        <v>271</v>
      </c>
      <c r="J18" s="29" t="n">
        <v>1</v>
      </c>
      <c r="K18" s="29"/>
      <c r="L18" s="33" t="s">
        <v>217</v>
      </c>
      <c r="M18" s="29"/>
    </row>
    <row r="19" customFormat="false" ht="23.85" hidden="false" customHeight="false" outlineLevel="0" collapsed="false">
      <c r="A19" s="29" t="n">
        <v>18</v>
      </c>
      <c r="B19" s="30" t="n">
        <v>46301</v>
      </c>
      <c r="C19" s="29" t="s">
        <v>228</v>
      </c>
      <c r="D19" s="29" t="s">
        <v>62</v>
      </c>
      <c r="E19" s="29" t="s">
        <v>28</v>
      </c>
      <c r="F19" s="29" t="s">
        <v>229</v>
      </c>
      <c r="G19" s="31" t="s">
        <v>283</v>
      </c>
      <c r="H19" s="29" t="s">
        <v>284</v>
      </c>
      <c r="I19" s="32" t="s">
        <v>285</v>
      </c>
      <c r="J19" s="29" t="n">
        <v>1.5</v>
      </c>
      <c r="K19" s="29" t="s">
        <v>210</v>
      </c>
      <c r="L19" s="33" t="s">
        <v>217</v>
      </c>
      <c r="M19" s="29"/>
    </row>
    <row r="20" customFormat="false" ht="23.85" hidden="false" customHeight="false" outlineLevel="0" collapsed="false">
      <c r="A20" s="29" t="n">
        <v>19</v>
      </c>
      <c r="B20" s="30" t="n">
        <v>46301</v>
      </c>
      <c r="C20" s="29" t="s">
        <v>228</v>
      </c>
      <c r="D20" s="29" t="s">
        <v>62</v>
      </c>
      <c r="E20" s="29" t="s">
        <v>28</v>
      </c>
      <c r="F20" s="29" t="s">
        <v>223</v>
      </c>
      <c r="G20" s="31" t="s">
        <v>286</v>
      </c>
      <c r="H20" s="29" t="s">
        <v>287</v>
      </c>
      <c r="I20" s="32" t="s">
        <v>288</v>
      </c>
      <c r="J20" s="29" t="n">
        <v>1</v>
      </c>
      <c r="K20" s="29"/>
      <c r="L20" s="33" t="s">
        <v>217</v>
      </c>
      <c r="M20" s="29"/>
    </row>
    <row r="21" customFormat="false" ht="23.85" hidden="false" customHeight="false" outlineLevel="0" collapsed="false">
      <c r="A21" s="29" t="n">
        <v>20</v>
      </c>
      <c r="B21" s="30" t="n">
        <v>46301</v>
      </c>
      <c r="C21" s="29" t="s">
        <v>228</v>
      </c>
      <c r="D21" s="29" t="s">
        <v>62</v>
      </c>
      <c r="E21" s="29" t="s">
        <v>52</v>
      </c>
      <c r="F21" s="29" t="s">
        <v>256</v>
      </c>
      <c r="G21" s="31" t="s">
        <v>289</v>
      </c>
      <c r="H21" s="29" t="s">
        <v>290</v>
      </c>
      <c r="I21" s="32" t="s">
        <v>291</v>
      </c>
      <c r="J21" s="29" t="n">
        <v>1</v>
      </c>
      <c r="K21" s="29" t="s">
        <v>292</v>
      </c>
      <c r="L21" s="33" t="s">
        <v>217</v>
      </c>
      <c r="M21" s="29"/>
    </row>
    <row r="22" customFormat="false" ht="23.85" hidden="false" customHeight="false" outlineLevel="0" collapsed="false">
      <c r="A22" s="29" t="n">
        <v>21</v>
      </c>
      <c r="B22" s="30" t="n">
        <v>46302</v>
      </c>
      <c r="C22" s="29" t="s">
        <v>238</v>
      </c>
      <c r="D22" s="29" t="s">
        <v>62</v>
      </c>
      <c r="E22" s="29" t="s">
        <v>28</v>
      </c>
      <c r="F22" s="29" t="s">
        <v>20</v>
      </c>
      <c r="G22" s="31" t="s">
        <v>293</v>
      </c>
      <c r="H22" s="29" t="s">
        <v>294</v>
      </c>
      <c r="I22" s="32" t="s">
        <v>264</v>
      </c>
      <c r="J22" s="29" t="n">
        <v>3.5</v>
      </c>
      <c r="K22" s="29" t="s">
        <v>295</v>
      </c>
      <c r="L22" s="33" t="s">
        <v>217</v>
      </c>
      <c r="M22" s="29"/>
    </row>
    <row r="23" customFormat="false" ht="23.85" hidden="false" customHeight="false" outlineLevel="0" collapsed="false">
      <c r="A23" s="29" t="n">
        <v>22</v>
      </c>
      <c r="B23" s="30" t="n">
        <v>46303</v>
      </c>
      <c r="C23" s="29" t="s">
        <v>248</v>
      </c>
      <c r="D23" s="29" t="s">
        <v>62</v>
      </c>
      <c r="E23" s="29" t="s">
        <v>28</v>
      </c>
      <c r="F23" s="29" t="s">
        <v>229</v>
      </c>
      <c r="G23" s="31" t="s">
        <v>296</v>
      </c>
      <c r="H23" s="29" t="s">
        <v>297</v>
      </c>
      <c r="I23" s="32" t="s">
        <v>298</v>
      </c>
      <c r="J23" s="29" t="n">
        <v>1</v>
      </c>
      <c r="K23" s="29"/>
      <c r="L23" s="33" t="s">
        <v>217</v>
      </c>
      <c r="M23" s="29"/>
    </row>
    <row r="24" customFormat="false" ht="23.85" hidden="false" customHeight="false" outlineLevel="0" collapsed="false">
      <c r="A24" s="29" t="n">
        <v>23</v>
      </c>
      <c r="B24" s="30" t="n">
        <v>46303</v>
      </c>
      <c r="C24" s="29" t="s">
        <v>248</v>
      </c>
      <c r="D24" s="29" t="s">
        <v>62</v>
      </c>
      <c r="E24" s="29" t="s">
        <v>52</v>
      </c>
      <c r="F24" s="29" t="s">
        <v>256</v>
      </c>
      <c r="G24" s="31" t="s">
        <v>299</v>
      </c>
      <c r="H24" s="29" t="s">
        <v>300</v>
      </c>
      <c r="I24" s="32" t="s">
        <v>301</v>
      </c>
      <c r="J24" s="29" t="n">
        <v>0.5</v>
      </c>
      <c r="K24" s="29"/>
      <c r="L24" s="33" t="s">
        <v>217</v>
      </c>
      <c r="M24" s="29"/>
    </row>
    <row r="25" customFormat="false" ht="23.85" hidden="false" customHeight="false" outlineLevel="0" collapsed="false">
      <c r="A25" s="29" t="n">
        <v>24</v>
      </c>
      <c r="B25" s="30" t="n">
        <v>46303</v>
      </c>
      <c r="C25" s="29" t="s">
        <v>248</v>
      </c>
      <c r="D25" s="29" t="s">
        <v>62</v>
      </c>
      <c r="E25" s="29" t="s">
        <v>28</v>
      </c>
      <c r="F25" s="29" t="s">
        <v>20</v>
      </c>
      <c r="G25" s="31" t="s">
        <v>302</v>
      </c>
      <c r="H25" s="29" t="s">
        <v>303</v>
      </c>
      <c r="I25" s="32" t="s">
        <v>264</v>
      </c>
      <c r="J25" s="29" t="n">
        <v>2</v>
      </c>
      <c r="K25" s="29" t="s">
        <v>304</v>
      </c>
      <c r="L25" s="33" t="s">
        <v>217</v>
      </c>
      <c r="M25" s="29"/>
    </row>
    <row r="26" customFormat="false" ht="17.35" hidden="false" customHeight="false" outlineLevel="0" collapsed="false">
      <c r="A26" s="29" t="n">
        <v>25</v>
      </c>
      <c r="B26" s="30" t="n">
        <v>46304</v>
      </c>
      <c r="C26" s="29" t="s">
        <v>261</v>
      </c>
      <c r="D26" s="29" t="s">
        <v>62</v>
      </c>
      <c r="E26" s="29" t="s">
        <v>52</v>
      </c>
      <c r="F26" s="29" t="s">
        <v>256</v>
      </c>
      <c r="G26" s="31" t="s">
        <v>305</v>
      </c>
      <c r="H26" s="29" t="s">
        <v>306</v>
      </c>
      <c r="I26" s="32" t="s">
        <v>307</v>
      </c>
      <c r="J26" s="29" t="n">
        <v>1</v>
      </c>
      <c r="K26" s="29" t="s">
        <v>308</v>
      </c>
      <c r="L26" s="33" t="s">
        <v>217</v>
      </c>
      <c r="M26" s="29"/>
    </row>
    <row r="27" customFormat="false" ht="23.85" hidden="false" customHeight="false" outlineLevel="0" collapsed="false">
      <c r="A27" s="29" t="n">
        <v>26</v>
      </c>
      <c r="B27" s="30" t="n">
        <v>46304</v>
      </c>
      <c r="C27" s="29" t="s">
        <v>261</v>
      </c>
      <c r="D27" s="29" t="s">
        <v>62</v>
      </c>
      <c r="E27" s="29" t="s">
        <v>28</v>
      </c>
      <c r="F27" s="29" t="s">
        <v>20</v>
      </c>
      <c r="G27" s="31" t="s">
        <v>309</v>
      </c>
      <c r="H27" s="29" t="s">
        <v>310</v>
      </c>
      <c r="I27" s="32" t="s">
        <v>264</v>
      </c>
      <c r="J27" s="29" t="n">
        <v>2.5</v>
      </c>
      <c r="K27" s="29" t="s">
        <v>311</v>
      </c>
      <c r="L27" s="33" t="s">
        <v>217</v>
      </c>
      <c r="M27" s="29"/>
    </row>
    <row r="28" customFormat="false" ht="23.85" hidden="false" customHeight="false" outlineLevel="0" collapsed="false">
      <c r="A28" s="29" t="n">
        <v>27</v>
      </c>
      <c r="B28" s="30" t="n">
        <v>46305</v>
      </c>
      <c r="C28" s="29" t="s">
        <v>268</v>
      </c>
      <c r="D28" s="29" t="s">
        <v>62</v>
      </c>
      <c r="E28" s="29" t="s">
        <v>28</v>
      </c>
      <c r="F28" s="29" t="s">
        <v>312</v>
      </c>
      <c r="G28" s="31" t="s">
        <v>313</v>
      </c>
      <c r="H28" s="29" t="s">
        <v>314</v>
      </c>
      <c r="I28" s="32" t="s">
        <v>271</v>
      </c>
      <c r="J28" s="29" t="n">
        <v>3</v>
      </c>
      <c r="K28" s="29" t="s">
        <v>315</v>
      </c>
      <c r="L28" s="33" t="s">
        <v>217</v>
      </c>
      <c r="M28" s="29"/>
    </row>
    <row r="29" customFormat="false" ht="23.85" hidden="false" customHeight="false" outlineLevel="0" collapsed="false">
      <c r="A29" s="29" t="n">
        <v>28</v>
      </c>
      <c r="B29" s="30" t="n">
        <v>46305</v>
      </c>
      <c r="C29" s="29" t="s">
        <v>268</v>
      </c>
      <c r="D29" s="29" t="s">
        <v>62</v>
      </c>
      <c r="E29" s="29" t="s">
        <v>28</v>
      </c>
      <c r="F29" s="29" t="s">
        <v>218</v>
      </c>
      <c r="G29" s="31" t="s">
        <v>316</v>
      </c>
      <c r="H29" s="29" t="s">
        <v>317</v>
      </c>
      <c r="I29" s="32" t="s">
        <v>318</v>
      </c>
      <c r="J29" s="29" t="n">
        <v>1</v>
      </c>
      <c r="K29" s="29" t="s">
        <v>319</v>
      </c>
      <c r="L29" s="33" t="s">
        <v>217</v>
      </c>
      <c r="M29" s="29"/>
    </row>
    <row r="30" customFormat="false" ht="23.85" hidden="false" customHeight="false" outlineLevel="0" collapsed="false">
      <c r="A30" s="15" t="n">
        <v>29</v>
      </c>
      <c r="B30" s="25" t="n">
        <v>46307</v>
      </c>
      <c r="C30" s="15" t="s">
        <v>211</v>
      </c>
      <c r="D30" s="15" t="s">
        <v>64</v>
      </c>
      <c r="E30" s="15" t="s">
        <v>30</v>
      </c>
      <c r="F30" s="15" t="s">
        <v>229</v>
      </c>
      <c r="G30" s="26" t="s">
        <v>320</v>
      </c>
      <c r="H30" s="15" t="s">
        <v>321</v>
      </c>
      <c r="I30" s="27" t="s">
        <v>322</v>
      </c>
      <c r="J30" s="15" t="n">
        <v>2.5</v>
      </c>
      <c r="K30" s="15"/>
      <c r="L30" s="28" t="s">
        <v>217</v>
      </c>
      <c r="M30" s="15"/>
    </row>
    <row r="31" customFormat="false" ht="23.85" hidden="false" customHeight="false" outlineLevel="0" collapsed="false">
      <c r="A31" s="15" t="n">
        <v>30</v>
      </c>
      <c r="B31" s="25" t="n">
        <v>46307</v>
      </c>
      <c r="C31" s="15" t="s">
        <v>211</v>
      </c>
      <c r="D31" s="15" t="s">
        <v>64</v>
      </c>
      <c r="E31" s="15" t="s">
        <v>52</v>
      </c>
      <c r="F31" s="15" t="s">
        <v>256</v>
      </c>
      <c r="G31" s="26" t="s">
        <v>323</v>
      </c>
      <c r="H31" s="15" t="s">
        <v>324</v>
      </c>
      <c r="I31" s="27" t="s">
        <v>325</v>
      </c>
      <c r="J31" s="15" t="n">
        <v>1</v>
      </c>
      <c r="K31" s="15" t="s">
        <v>326</v>
      </c>
      <c r="L31" s="28" t="s">
        <v>217</v>
      </c>
      <c r="M31" s="15"/>
    </row>
    <row r="32" customFormat="false" ht="23.85" hidden="false" customHeight="false" outlineLevel="0" collapsed="false">
      <c r="A32" s="15" t="n">
        <v>31</v>
      </c>
      <c r="B32" s="25" t="n">
        <v>46308</v>
      </c>
      <c r="C32" s="15" t="s">
        <v>228</v>
      </c>
      <c r="D32" s="15" t="s">
        <v>64</v>
      </c>
      <c r="E32" s="15" t="s">
        <v>30</v>
      </c>
      <c r="F32" s="15" t="s">
        <v>229</v>
      </c>
      <c r="G32" s="26" t="s">
        <v>327</v>
      </c>
      <c r="H32" s="15" t="s">
        <v>328</v>
      </c>
      <c r="I32" s="27" t="s">
        <v>329</v>
      </c>
      <c r="J32" s="15" t="n">
        <v>1.5</v>
      </c>
      <c r="K32" s="15"/>
      <c r="L32" s="28" t="s">
        <v>217</v>
      </c>
      <c r="M32" s="15"/>
    </row>
    <row r="33" customFormat="false" ht="23.85" hidden="false" customHeight="false" outlineLevel="0" collapsed="false">
      <c r="A33" s="15" t="n">
        <v>32</v>
      </c>
      <c r="B33" s="25" t="n">
        <v>46308</v>
      </c>
      <c r="C33" s="15" t="s">
        <v>228</v>
      </c>
      <c r="D33" s="15" t="s">
        <v>64</v>
      </c>
      <c r="E33" s="15" t="s">
        <v>30</v>
      </c>
      <c r="F33" s="15" t="s">
        <v>20</v>
      </c>
      <c r="G33" s="26" t="s">
        <v>330</v>
      </c>
      <c r="H33" s="15" t="s">
        <v>331</v>
      </c>
      <c r="I33" s="27" t="s">
        <v>332</v>
      </c>
      <c r="J33" s="15" t="n">
        <v>2</v>
      </c>
      <c r="K33" s="15" t="s">
        <v>333</v>
      </c>
      <c r="L33" s="28" t="s">
        <v>217</v>
      </c>
      <c r="M33" s="15"/>
    </row>
    <row r="34" customFormat="false" ht="23.85" hidden="false" customHeight="false" outlineLevel="0" collapsed="false">
      <c r="A34" s="15" t="n">
        <v>33</v>
      </c>
      <c r="B34" s="25" t="n">
        <v>46309</v>
      </c>
      <c r="C34" s="15" t="s">
        <v>238</v>
      </c>
      <c r="D34" s="15" t="s">
        <v>64</v>
      </c>
      <c r="E34" s="15" t="s">
        <v>30</v>
      </c>
      <c r="F34" s="15" t="s">
        <v>20</v>
      </c>
      <c r="G34" s="26" t="s">
        <v>334</v>
      </c>
      <c r="H34" s="15" t="s">
        <v>335</v>
      </c>
      <c r="I34" s="27" t="s">
        <v>332</v>
      </c>
      <c r="J34" s="15" t="n">
        <v>2</v>
      </c>
      <c r="K34" s="15" t="s">
        <v>336</v>
      </c>
      <c r="L34" s="28" t="s">
        <v>217</v>
      </c>
      <c r="M34" s="15"/>
    </row>
    <row r="35" customFormat="false" ht="23.85" hidden="false" customHeight="false" outlineLevel="0" collapsed="false">
      <c r="A35" s="15" t="n">
        <v>34</v>
      </c>
      <c r="B35" s="25" t="n">
        <v>46309</v>
      </c>
      <c r="C35" s="15" t="s">
        <v>238</v>
      </c>
      <c r="D35" s="15" t="s">
        <v>64</v>
      </c>
      <c r="E35" s="15" t="s">
        <v>30</v>
      </c>
      <c r="F35" s="15" t="s">
        <v>273</v>
      </c>
      <c r="G35" s="26" t="s">
        <v>337</v>
      </c>
      <c r="H35" s="15" t="s">
        <v>338</v>
      </c>
      <c r="I35" s="27" t="s">
        <v>339</v>
      </c>
      <c r="J35" s="15" t="n">
        <v>1.5</v>
      </c>
      <c r="K35" s="15" t="s">
        <v>340</v>
      </c>
      <c r="L35" s="28" t="s">
        <v>217</v>
      </c>
      <c r="M35" s="15"/>
    </row>
    <row r="36" customFormat="false" ht="23.85" hidden="false" customHeight="false" outlineLevel="0" collapsed="false">
      <c r="A36" s="15" t="n">
        <v>35</v>
      </c>
      <c r="B36" s="25" t="n">
        <v>46310</v>
      </c>
      <c r="C36" s="15" t="s">
        <v>248</v>
      </c>
      <c r="D36" s="15" t="s">
        <v>64</v>
      </c>
      <c r="E36" s="15" t="s">
        <v>30</v>
      </c>
      <c r="F36" s="15" t="s">
        <v>223</v>
      </c>
      <c r="G36" s="26" t="s">
        <v>341</v>
      </c>
      <c r="H36" s="15" t="s">
        <v>342</v>
      </c>
      <c r="I36" s="27" t="s">
        <v>343</v>
      </c>
      <c r="J36" s="15" t="n">
        <v>1</v>
      </c>
      <c r="K36" s="15"/>
      <c r="L36" s="28" t="s">
        <v>217</v>
      </c>
      <c r="M36" s="15"/>
    </row>
    <row r="37" customFormat="false" ht="23.85" hidden="false" customHeight="false" outlineLevel="0" collapsed="false">
      <c r="A37" s="15" t="n">
        <v>36</v>
      </c>
      <c r="B37" s="25" t="n">
        <v>46310</v>
      </c>
      <c r="C37" s="15" t="s">
        <v>248</v>
      </c>
      <c r="D37" s="15" t="s">
        <v>64</v>
      </c>
      <c r="E37" s="15" t="s">
        <v>30</v>
      </c>
      <c r="F37" s="15" t="s">
        <v>20</v>
      </c>
      <c r="G37" s="26" t="s">
        <v>344</v>
      </c>
      <c r="H37" s="15" t="s">
        <v>345</v>
      </c>
      <c r="I37" s="27" t="s">
        <v>332</v>
      </c>
      <c r="J37" s="15" t="n">
        <v>2.5</v>
      </c>
      <c r="K37" s="15" t="s">
        <v>346</v>
      </c>
      <c r="L37" s="28" t="s">
        <v>217</v>
      </c>
      <c r="M37" s="15"/>
    </row>
    <row r="38" customFormat="false" ht="23.85" hidden="false" customHeight="false" outlineLevel="0" collapsed="false">
      <c r="A38" s="15" t="n">
        <v>37</v>
      </c>
      <c r="B38" s="25" t="n">
        <v>46311</v>
      </c>
      <c r="C38" s="15" t="s">
        <v>261</v>
      </c>
      <c r="D38" s="15" t="s">
        <v>64</v>
      </c>
      <c r="E38" s="15" t="s">
        <v>30</v>
      </c>
      <c r="F38" s="15" t="s">
        <v>273</v>
      </c>
      <c r="G38" s="26" t="s">
        <v>347</v>
      </c>
      <c r="H38" s="15" t="s">
        <v>348</v>
      </c>
      <c r="I38" s="27" t="s">
        <v>332</v>
      </c>
      <c r="J38" s="15" t="n">
        <v>3.5</v>
      </c>
      <c r="K38" s="15" t="s">
        <v>349</v>
      </c>
      <c r="L38" s="28" t="s">
        <v>217</v>
      </c>
      <c r="M38" s="15"/>
    </row>
    <row r="39" customFormat="false" ht="17.35" hidden="false" customHeight="false" outlineLevel="0" collapsed="false">
      <c r="A39" s="15" t="n">
        <v>38</v>
      </c>
      <c r="B39" s="25" t="n">
        <v>46312</v>
      </c>
      <c r="C39" s="15" t="s">
        <v>268</v>
      </c>
      <c r="D39" s="15" t="s">
        <v>64</v>
      </c>
      <c r="E39" s="15" t="s">
        <v>30</v>
      </c>
      <c r="F39" s="15" t="s">
        <v>20</v>
      </c>
      <c r="G39" s="26" t="s">
        <v>350</v>
      </c>
      <c r="H39" s="15" t="s">
        <v>351</v>
      </c>
      <c r="I39" s="27" t="s">
        <v>352</v>
      </c>
      <c r="J39" s="15" t="n">
        <v>2</v>
      </c>
      <c r="K39" s="15" t="s">
        <v>353</v>
      </c>
      <c r="L39" s="28" t="s">
        <v>217</v>
      </c>
      <c r="M39" s="15"/>
    </row>
    <row r="40" customFormat="false" ht="23.85" hidden="false" customHeight="false" outlineLevel="0" collapsed="false">
      <c r="A40" s="15" t="n">
        <v>39</v>
      </c>
      <c r="B40" s="25" t="n">
        <v>46312</v>
      </c>
      <c r="C40" s="15" t="s">
        <v>268</v>
      </c>
      <c r="D40" s="15" t="s">
        <v>64</v>
      </c>
      <c r="E40" s="15" t="s">
        <v>52</v>
      </c>
      <c r="F40" s="15" t="s">
        <v>273</v>
      </c>
      <c r="G40" s="26" t="s">
        <v>354</v>
      </c>
      <c r="H40" s="15" t="s">
        <v>355</v>
      </c>
      <c r="I40" s="27" t="s">
        <v>291</v>
      </c>
      <c r="J40" s="15" t="n">
        <v>2</v>
      </c>
      <c r="K40" s="15" t="s">
        <v>356</v>
      </c>
      <c r="L40" s="28" t="s">
        <v>217</v>
      </c>
      <c r="M40" s="15"/>
    </row>
    <row r="41" customFormat="false" ht="23.85" hidden="false" customHeight="false" outlineLevel="0" collapsed="false">
      <c r="A41" s="29" t="n">
        <v>40</v>
      </c>
      <c r="B41" s="30" t="n">
        <v>46314</v>
      </c>
      <c r="C41" s="29" t="s">
        <v>211</v>
      </c>
      <c r="D41" s="29" t="s">
        <v>66</v>
      </c>
      <c r="E41" s="29" t="s">
        <v>30</v>
      </c>
      <c r="F41" s="29" t="s">
        <v>223</v>
      </c>
      <c r="G41" s="31" t="s">
        <v>357</v>
      </c>
      <c r="H41" s="29" t="s">
        <v>358</v>
      </c>
      <c r="I41" s="32" t="s">
        <v>343</v>
      </c>
      <c r="J41" s="29" t="n">
        <v>1</v>
      </c>
      <c r="K41" s="29"/>
      <c r="L41" s="33" t="s">
        <v>217</v>
      </c>
      <c r="M41" s="29"/>
    </row>
    <row r="42" customFormat="false" ht="23.85" hidden="false" customHeight="false" outlineLevel="0" collapsed="false">
      <c r="A42" s="29" t="n">
        <v>41</v>
      </c>
      <c r="B42" s="30" t="n">
        <v>46314</v>
      </c>
      <c r="C42" s="29" t="s">
        <v>211</v>
      </c>
      <c r="D42" s="29" t="s">
        <v>66</v>
      </c>
      <c r="E42" s="29" t="s">
        <v>30</v>
      </c>
      <c r="F42" s="29" t="s">
        <v>20</v>
      </c>
      <c r="G42" s="31" t="s">
        <v>359</v>
      </c>
      <c r="H42" s="29" t="s">
        <v>360</v>
      </c>
      <c r="I42" s="32" t="s">
        <v>343</v>
      </c>
      <c r="J42" s="29" t="n">
        <v>2.5</v>
      </c>
      <c r="K42" s="29" t="s">
        <v>361</v>
      </c>
      <c r="L42" s="33" t="s">
        <v>217</v>
      </c>
      <c r="M42" s="29"/>
    </row>
    <row r="43" customFormat="false" ht="23.85" hidden="false" customHeight="false" outlineLevel="0" collapsed="false">
      <c r="A43" s="29" t="n">
        <v>42</v>
      </c>
      <c r="B43" s="30" t="n">
        <v>46315</v>
      </c>
      <c r="C43" s="29" t="s">
        <v>228</v>
      </c>
      <c r="D43" s="29" t="s">
        <v>66</v>
      </c>
      <c r="E43" s="29" t="s">
        <v>52</v>
      </c>
      <c r="F43" s="29" t="s">
        <v>256</v>
      </c>
      <c r="G43" s="31" t="s">
        <v>362</v>
      </c>
      <c r="H43" s="29" t="s">
        <v>363</v>
      </c>
      <c r="I43" s="32" t="s">
        <v>352</v>
      </c>
      <c r="J43" s="29" t="n">
        <v>1</v>
      </c>
      <c r="K43" s="29" t="s">
        <v>364</v>
      </c>
      <c r="L43" s="33" t="s">
        <v>217</v>
      </c>
      <c r="M43" s="29"/>
    </row>
    <row r="44" customFormat="false" ht="23.85" hidden="false" customHeight="false" outlineLevel="0" collapsed="false">
      <c r="A44" s="29" t="n">
        <v>43</v>
      </c>
      <c r="B44" s="30" t="n">
        <v>46315</v>
      </c>
      <c r="C44" s="29" t="s">
        <v>228</v>
      </c>
      <c r="D44" s="29" t="s">
        <v>66</v>
      </c>
      <c r="E44" s="29" t="s">
        <v>30</v>
      </c>
      <c r="F44" s="29" t="s">
        <v>20</v>
      </c>
      <c r="G44" s="31" t="s">
        <v>365</v>
      </c>
      <c r="H44" s="29" t="s">
        <v>366</v>
      </c>
      <c r="I44" s="32" t="s">
        <v>352</v>
      </c>
      <c r="J44" s="29" t="n">
        <v>2.5</v>
      </c>
      <c r="K44" s="29" t="s">
        <v>367</v>
      </c>
      <c r="L44" s="33" t="s">
        <v>217</v>
      </c>
      <c r="M44" s="29"/>
    </row>
    <row r="45" customFormat="false" ht="23.85" hidden="false" customHeight="false" outlineLevel="0" collapsed="false">
      <c r="A45" s="29" t="n">
        <v>44</v>
      </c>
      <c r="B45" s="30" t="n">
        <v>46316</v>
      </c>
      <c r="C45" s="29" t="s">
        <v>238</v>
      </c>
      <c r="D45" s="29" t="s">
        <v>66</v>
      </c>
      <c r="E45" s="29" t="s">
        <v>30</v>
      </c>
      <c r="F45" s="29" t="s">
        <v>229</v>
      </c>
      <c r="G45" s="31" t="s">
        <v>368</v>
      </c>
      <c r="H45" s="29" t="s">
        <v>369</v>
      </c>
      <c r="I45" s="32" t="s">
        <v>370</v>
      </c>
      <c r="J45" s="29" t="n">
        <v>1.5</v>
      </c>
      <c r="K45" s="29"/>
      <c r="L45" s="33" t="s">
        <v>217</v>
      </c>
      <c r="M45" s="29"/>
    </row>
    <row r="46" customFormat="false" ht="23.85" hidden="false" customHeight="false" outlineLevel="0" collapsed="false">
      <c r="A46" s="29" t="n">
        <v>45</v>
      </c>
      <c r="B46" s="30" t="n">
        <v>46316</v>
      </c>
      <c r="C46" s="29" t="s">
        <v>238</v>
      </c>
      <c r="D46" s="29" t="s">
        <v>66</v>
      </c>
      <c r="E46" s="29" t="s">
        <v>30</v>
      </c>
      <c r="F46" s="29" t="s">
        <v>223</v>
      </c>
      <c r="G46" s="31" t="s">
        <v>371</v>
      </c>
      <c r="H46" s="29" t="s">
        <v>372</v>
      </c>
      <c r="I46" s="32" t="s">
        <v>373</v>
      </c>
      <c r="J46" s="29" t="n">
        <v>1</v>
      </c>
      <c r="K46" s="29"/>
      <c r="L46" s="33" t="s">
        <v>217</v>
      </c>
      <c r="M46" s="29"/>
    </row>
    <row r="47" customFormat="false" ht="23.85" hidden="false" customHeight="false" outlineLevel="0" collapsed="false">
      <c r="A47" s="29" t="n">
        <v>46</v>
      </c>
      <c r="B47" s="30" t="n">
        <v>46316</v>
      </c>
      <c r="C47" s="29" t="s">
        <v>238</v>
      </c>
      <c r="D47" s="29" t="s">
        <v>66</v>
      </c>
      <c r="E47" s="29" t="s">
        <v>30</v>
      </c>
      <c r="F47" s="29" t="s">
        <v>218</v>
      </c>
      <c r="G47" s="31" t="s">
        <v>374</v>
      </c>
      <c r="H47" s="29" t="s">
        <v>375</v>
      </c>
      <c r="I47" s="32" t="s">
        <v>343</v>
      </c>
      <c r="J47" s="29" t="n">
        <v>1</v>
      </c>
      <c r="K47" s="29" t="s">
        <v>376</v>
      </c>
      <c r="L47" s="33" t="s">
        <v>217</v>
      </c>
      <c r="M47" s="29"/>
    </row>
    <row r="48" customFormat="false" ht="23.85" hidden="false" customHeight="false" outlineLevel="0" collapsed="false">
      <c r="A48" s="29" t="n">
        <v>47</v>
      </c>
      <c r="B48" s="30" t="n">
        <v>46317</v>
      </c>
      <c r="C48" s="29" t="s">
        <v>248</v>
      </c>
      <c r="D48" s="29" t="s">
        <v>66</v>
      </c>
      <c r="E48" s="29" t="s">
        <v>48</v>
      </c>
      <c r="F48" s="29" t="s">
        <v>223</v>
      </c>
      <c r="G48" s="31" t="s">
        <v>377</v>
      </c>
      <c r="H48" s="29" t="s">
        <v>378</v>
      </c>
      <c r="I48" s="32" t="s">
        <v>379</v>
      </c>
      <c r="J48" s="29" t="n">
        <v>1.5</v>
      </c>
      <c r="K48" s="29" t="s">
        <v>380</v>
      </c>
      <c r="L48" s="33" t="s">
        <v>217</v>
      </c>
      <c r="M48" s="29"/>
    </row>
    <row r="49" customFormat="false" ht="23.85" hidden="false" customHeight="false" outlineLevel="0" collapsed="false">
      <c r="A49" s="29" t="n">
        <v>48</v>
      </c>
      <c r="B49" s="30" t="n">
        <v>46317</v>
      </c>
      <c r="C49" s="29" t="s">
        <v>248</v>
      </c>
      <c r="D49" s="29" t="s">
        <v>66</v>
      </c>
      <c r="E49" s="29" t="s">
        <v>52</v>
      </c>
      <c r="F49" s="29" t="s">
        <v>273</v>
      </c>
      <c r="G49" s="31" t="s">
        <v>381</v>
      </c>
      <c r="H49" s="29" t="s">
        <v>382</v>
      </c>
      <c r="I49" s="32" t="s">
        <v>379</v>
      </c>
      <c r="J49" s="29" t="n">
        <v>2</v>
      </c>
      <c r="K49" s="29" t="s">
        <v>383</v>
      </c>
      <c r="L49" s="33" t="s">
        <v>217</v>
      </c>
      <c r="M49" s="29"/>
    </row>
    <row r="50" customFormat="false" ht="17.35" hidden="false" customHeight="false" outlineLevel="0" collapsed="false">
      <c r="A50" s="29" t="n">
        <v>49</v>
      </c>
      <c r="B50" s="30" t="n">
        <v>46318</v>
      </c>
      <c r="C50" s="29" t="s">
        <v>261</v>
      </c>
      <c r="D50" s="29" t="s">
        <v>66</v>
      </c>
      <c r="E50" s="29" t="s">
        <v>28</v>
      </c>
      <c r="F50" s="29" t="s">
        <v>223</v>
      </c>
      <c r="G50" s="31" t="s">
        <v>384</v>
      </c>
      <c r="H50" s="29" t="s">
        <v>385</v>
      </c>
      <c r="I50" s="32" t="s">
        <v>386</v>
      </c>
      <c r="J50" s="29" t="n">
        <v>1.5</v>
      </c>
      <c r="K50" s="29"/>
      <c r="L50" s="33" t="s">
        <v>217</v>
      </c>
      <c r="M50" s="29"/>
    </row>
    <row r="51" customFormat="false" ht="17.35" hidden="false" customHeight="false" outlineLevel="0" collapsed="false">
      <c r="A51" s="29" t="n">
        <v>50</v>
      </c>
      <c r="B51" s="30" t="n">
        <v>46318</v>
      </c>
      <c r="C51" s="29" t="s">
        <v>261</v>
      </c>
      <c r="D51" s="29" t="s">
        <v>66</v>
      </c>
      <c r="E51" s="29" t="s">
        <v>28</v>
      </c>
      <c r="F51" s="29" t="s">
        <v>20</v>
      </c>
      <c r="G51" s="31" t="s">
        <v>387</v>
      </c>
      <c r="H51" s="29" t="s">
        <v>388</v>
      </c>
      <c r="I51" s="32" t="s">
        <v>389</v>
      </c>
      <c r="J51" s="29" t="n">
        <v>2</v>
      </c>
      <c r="K51" s="29" t="s">
        <v>390</v>
      </c>
      <c r="L51" s="33" t="s">
        <v>217</v>
      </c>
      <c r="M51" s="29"/>
    </row>
    <row r="52" customFormat="false" ht="17.35" hidden="false" customHeight="false" outlineLevel="0" collapsed="false">
      <c r="A52" s="29" t="n">
        <v>51</v>
      </c>
      <c r="B52" s="30" t="n">
        <v>46319</v>
      </c>
      <c r="C52" s="29" t="s">
        <v>268</v>
      </c>
      <c r="D52" s="29" t="s">
        <v>66</v>
      </c>
      <c r="E52" s="29" t="s">
        <v>28</v>
      </c>
      <c r="F52" s="29" t="s">
        <v>273</v>
      </c>
      <c r="G52" s="31" t="s">
        <v>391</v>
      </c>
      <c r="H52" s="29" t="s">
        <v>392</v>
      </c>
      <c r="I52" s="32" t="s">
        <v>389</v>
      </c>
      <c r="J52" s="29" t="n">
        <v>2</v>
      </c>
      <c r="K52" s="29" t="s">
        <v>393</v>
      </c>
      <c r="L52" s="33" t="s">
        <v>217</v>
      </c>
      <c r="M52" s="29"/>
    </row>
    <row r="53" customFormat="false" ht="23.85" hidden="false" customHeight="false" outlineLevel="0" collapsed="false">
      <c r="A53" s="29" t="n">
        <v>52</v>
      </c>
      <c r="B53" s="30" t="n">
        <v>46319</v>
      </c>
      <c r="C53" s="29" t="s">
        <v>268</v>
      </c>
      <c r="D53" s="29" t="s">
        <v>66</v>
      </c>
      <c r="E53" s="29" t="s">
        <v>30</v>
      </c>
      <c r="F53" s="29" t="s">
        <v>218</v>
      </c>
      <c r="G53" s="31" t="s">
        <v>394</v>
      </c>
      <c r="H53" s="29" t="s">
        <v>395</v>
      </c>
      <c r="I53" s="32" t="s">
        <v>221</v>
      </c>
      <c r="J53" s="29" t="n">
        <v>2</v>
      </c>
      <c r="K53" s="29" t="s">
        <v>396</v>
      </c>
      <c r="L53" s="33" t="s">
        <v>217</v>
      </c>
      <c r="M53" s="29"/>
    </row>
    <row r="54" customFormat="false" ht="23.85" hidden="false" customHeight="false" outlineLevel="0" collapsed="false">
      <c r="A54" s="15" t="n">
        <v>53</v>
      </c>
      <c r="B54" s="25" t="n">
        <v>46321</v>
      </c>
      <c r="C54" s="15" t="s">
        <v>211</v>
      </c>
      <c r="D54" s="15" t="s">
        <v>68</v>
      </c>
      <c r="E54" s="15" t="s">
        <v>32</v>
      </c>
      <c r="F54" s="15" t="s">
        <v>223</v>
      </c>
      <c r="G54" s="26" t="s">
        <v>397</v>
      </c>
      <c r="H54" s="15" t="s">
        <v>398</v>
      </c>
      <c r="I54" s="27" t="s">
        <v>399</v>
      </c>
      <c r="J54" s="15" t="n">
        <v>1.5</v>
      </c>
      <c r="K54" s="15" t="s">
        <v>400</v>
      </c>
      <c r="L54" s="28" t="s">
        <v>217</v>
      </c>
      <c r="M54" s="15"/>
    </row>
    <row r="55" customFormat="false" ht="23.85" hidden="false" customHeight="false" outlineLevel="0" collapsed="false">
      <c r="A55" s="15" t="n">
        <v>54</v>
      </c>
      <c r="B55" s="25" t="n">
        <v>46321</v>
      </c>
      <c r="C55" s="15" t="s">
        <v>211</v>
      </c>
      <c r="D55" s="15" t="s">
        <v>68</v>
      </c>
      <c r="E55" s="15" t="s">
        <v>32</v>
      </c>
      <c r="F55" s="15" t="s">
        <v>20</v>
      </c>
      <c r="G55" s="26" t="s">
        <v>401</v>
      </c>
      <c r="H55" s="15" t="s">
        <v>402</v>
      </c>
      <c r="I55" s="27" t="s">
        <v>403</v>
      </c>
      <c r="J55" s="15" t="n">
        <v>2</v>
      </c>
      <c r="K55" s="15" t="s">
        <v>404</v>
      </c>
      <c r="L55" s="28" t="s">
        <v>217</v>
      </c>
      <c r="M55" s="15"/>
    </row>
    <row r="56" customFormat="false" ht="23.85" hidden="false" customHeight="false" outlineLevel="0" collapsed="false">
      <c r="A56" s="15" t="n">
        <v>55</v>
      </c>
      <c r="B56" s="25" t="n">
        <v>46322</v>
      </c>
      <c r="C56" s="15" t="s">
        <v>228</v>
      </c>
      <c r="D56" s="15" t="s">
        <v>68</v>
      </c>
      <c r="E56" s="15" t="s">
        <v>32</v>
      </c>
      <c r="F56" s="15" t="s">
        <v>223</v>
      </c>
      <c r="G56" s="26" t="s">
        <v>405</v>
      </c>
      <c r="H56" s="15" t="s">
        <v>406</v>
      </c>
      <c r="I56" s="27" t="s">
        <v>407</v>
      </c>
      <c r="J56" s="15" t="n">
        <v>1</v>
      </c>
      <c r="K56" s="15"/>
      <c r="L56" s="28" t="s">
        <v>217</v>
      </c>
      <c r="M56" s="15"/>
    </row>
    <row r="57" customFormat="false" ht="23.85" hidden="false" customHeight="false" outlineLevel="0" collapsed="false">
      <c r="A57" s="15" t="n">
        <v>56</v>
      </c>
      <c r="B57" s="25" t="n">
        <v>46322</v>
      </c>
      <c r="C57" s="15" t="s">
        <v>228</v>
      </c>
      <c r="D57" s="15" t="s">
        <v>68</v>
      </c>
      <c r="E57" s="15" t="s">
        <v>32</v>
      </c>
      <c r="F57" s="15" t="s">
        <v>20</v>
      </c>
      <c r="G57" s="26" t="s">
        <v>408</v>
      </c>
      <c r="H57" s="15" t="s">
        <v>409</v>
      </c>
      <c r="I57" s="27" t="s">
        <v>410</v>
      </c>
      <c r="J57" s="15" t="n">
        <v>2.5</v>
      </c>
      <c r="K57" s="15" t="s">
        <v>411</v>
      </c>
      <c r="L57" s="28" t="s">
        <v>217</v>
      </c>
      <c r="M57" s="15"/>
    </row>
    <row r="58" customFormat="false" ht="23.85" hidden="false" customHeight="false" outlineLevel="0" collapsed="false">
      <c r="A58" s="15" t="n">
        <v>57</v>
      </c>
      <c r="B58" s="25" t="n">
        <v>46323</v>
      </c>
      <c r="C58" s="15" t="s">
        <v>238</v>
      </c>
      <c r="D58" s="15" t="s">
        <v>68</v>
      </c>
      <c r="E58" s="15" t="s">
        <v>32</v>
      </c>
      <c r="F58" s="15" t="s">
        <v>20</v>
      </c>
      <c r="G58" s="26" t="s">
        <v>412</v>
      </c>
      <c r="H58" s="15" t="s">
        <v>413</v>
      </c>
      <c r="I58" s="27" t="s">
        <v>414</v>
      </c>
      <c r="J58" s="15" t="n">
        <v>1</v>
      </c>
      <c r="K58" s="15" t="s">
        <v>247</v>
      </c>
      <c r="L58" s="28" t="s">
        <v>217</v>
      </c>
      <c r="M58" s="15"/>
    </row>
    <row r="59" customFormat="false" ht="23.85" hidden="false" customHeight="false" outlineLevel="0" collapsed="false">
      <c r="A59" s="15" t="n">
        <v>58</v>
      </c>
      <c r="B59" s="25" t="n">
        <v>46323</v>
      </c>
      <c r="C59" s="15" t="s">
        <v>238</v>
      </c>
      <c r="D59" s="15" t="s">
        <v>68</v>
      </c>
      <c r="E59" s="15" t="s">
        <v>52</v>
      </c>
      <c r="F59" s="15" t="s">
        <v>273</v>
      </c>
      <c r="G59" s="26" t="s">
        <v>415</v>
      </c>
      <c r="H59" s="15" t="s">
        <v>416</v>
      </c>
      <c r="I59" s="27" t="s">
        <v>414</v>
      </c>
      <c r="J59" s="15" t="n">
        <v>2.5</v>
      </c>
      <c r="K59" s="15" t="s">
        <v>417</v>
      </c>
      <c r="L59" s="28" t="s">
        <v>217</v>
      </c>
      <c r="M59" s="15"/>
    </row>
    <row r="60" customFormat="false" ht="23.85" hidden="false" customHeight="false" outlineLevel="0" collapsed="false">
      <c r="A60" s="15" t="n">
        <v>59</v>
      </c>
      <c r="B60" s="25" t="n">
        <v>46324</v>
      </c>
      <c r="C60" s="15" t="s">
        <v>248</v>
      </c>
      <c r="D60" s="15" t="s">
        <v>68</v>
      </c>
      <c r="E60" s="15" t="s">
        <v>32</v>
      </c>
      <c r="F60" s="15" t="s">
        <v>223</v>
      </c>
      <c r="G60" s="26" t="s">
        <v>418</v>
      </c>
      <c r="H60" s="15" t="s">
        <v>419</v>
      </c>
      <c r="I60" s="27" t="s">
        <v>420</v>
      </c>
      <c r="J60" s="15" t="n">
        <v>1.5</v>
      </c>
      <c r="K60" s="15"/>
      <c r="L60" s="28" t="s">
        <v>217</v>
      </c>
      <c r="M60" s="15"/>
    </row>
    <row r="61" customFormat="false" ht="23.85" hidden="false" customHeight="false" outlineLevel="0" collapsed="false">
      <c r="A61" s="15" t="n">
        <v>60</v>
      </c>
      <c r="B61" s="25" t="n">
        <v>46324</v>
      </c>
      <c r="C61" s="15" t="s">
        <v>248</v>
      </c>
      <c r="D61" s="15" t="s">
        <v>68</v>
      </c>
      <c r="E61" s="15" t="s">
        <v>32</v>
      </c>
      <c r="F61" s="15" t="s">
        <v>20</v>
      </c>
      <c r="G61" s="26" t="s">
        <v>421</v>
      </c>
      <c r="H61" s="15" t="s">
        <v>422</v>
      </c>
      <c r="I61" s="27" t="s">
        <v>423</v>
      </c>
      <c r="J61" s="15" t="n">
        <v>2</v>
      </c>
      <c r="K61" s="15" t="s">
        <v>424</v>
      </c>
      <c r="L61" s="28" t="s">
        <v>217</v>
      </c>
      <c r="M61" s="15"/>
    </row>
    <row r="62" customFormat="false" ht="17.35" hidden="false" customHeight="false" outlineLevel="0" collapsed="false">
      <c r="A62" s="15" t="n">
        <v>61</v>
      </c>
      <c r="B62" s="25" t="n">
        <v>46325</v>
      </c>
      <c r="C62" s="15" t="s">
        <v>261</v>
      </c>
      <c r="D62" s="15" t="s">
        <v>68</v>
      </c>
      <c r="E62" s="15" t="s">
        <v>32</v>
      </c>
      <c r="F62" s="15" t="s">
        <v>229</v>
      </c>
      <c r="G62" s="26" t="s">
        <v>425</v>
      </c>
      <c r="H62" s="15" t="s">
        <v>426</v>
      </c>
      <c r="I62" s="27" t="s">
        <v>427</v>
      </c>
      <c r="J62" s="15" t="n">
        <v>1.5</v>
      </c>
      <c r="K62" s="15"/>
      <c r="L62" s="28" t="s">
        <v>217</v>
      </c>
      <c r="M62" s="15"/>
    </row>
    <row r="63" customFormat="false" ht="23.85" hidden="false" customHeight="false" outlineLevel="0" collapsed="false">
      <c r="A63" s="15" t="n">
        <v>62</v>
      </c>
      <c r="B63" s="25" t="n">
        <v>46325</v>
      </c>
      <c r="C63" s="15" t="s">
        <v>261</v>
      </c>
      <c r="D63" s="15" t="s">
        <v>68</v>
      </c>
      <c r="E63" s="15" t="s">
        <v>32</v>
      </c>
      <c r="F63" s="15" t="s">
        <v>20</v>
      </c>
      <c r="G63" s="26" t="s">
        <v>428</v>
      </c>
      <c r="H63" s="15" t="s">
        <v>429</v>
      </c>
      <c r="I63" s="27" t="s">
        <v>430</v>
      </c>
      <c r="J63" s="15" t="n">
        <v>2</v>
      </c>
      <c r="K63" s="15" t="s">
        <v>431</v>
      </c>
      <c r="L63" s="28" t="s">
        <v>217</v>
      </c>
      <c r="M63" s="15"/>
    </row>
    <row r="64" customFormat="false" ht="23.85" hidden="false" customHeight="false" outlineLevel="0" collapsed="false">
      <c r="A64" s="15" t="n">
        <v>63</v>
      </c>
      <c r="B64" s="25" t="n">
        <v>46326</v>
      </c>
      <c r="C64" s="15" t="s">
        <v>268</v>
      </c>
      <c r="D64" s="15" t="s">
        <v>68</v>
      </c>
      <c r="E64" s="15" t="s">
        <v>32</v>
      </c>
      <c r="F64" s="15" t="s">
        <v>312</v>
      </c>
      <c r="G64" s="26" t="s">
        <v>432</v>
      </c>
      <c r="H64" s="15" t="s">
        <v>433</v>
      </c>
      <c r="I64" s="27" t="s">
        <v>434</v>
      </c>
      <c r="J64" s="15" t="n">
        <v>3</v>
      </c>
      <c r="K64" s="15" t="s">
        <v>435</v>
      </c>
      <c r="L64" s="28" t="s">
        <v>217</v>
      </c>
      <c r="M64" s="15"/>
    </row>
    <row r="65" customFormat="false" ht="17.35" hidden="false" customHeight="false" outlineLevel="0" collapsed="false">
      <c r="A65" s="15" t="n">
        <v>64</v>
      </c>
      <c r="B65" s="25" t="n">
        <v>46326</v>
      </c>
      <c r="C65" s="15" t="s">
        <v>268</v>
      </c>
      <c r="D65" s="15" t="s">
        <v>68</v>
      </c>
      <c r="E65" s="15" t="s">
        <v>32</v>
      </c>
      <c r="F65" s="15" t="s">
        <v>218</v>
      </c>
      <c r="G65" s="26" t="s">
        <v>436</v>
      </c>
      <c r="H65" s="15" t="s">
        <v>437</v>
      </c>
      <c r="I65" s="27" t="s">
        <v>399</v>
      </c>
      <c r="J65" s="15" t="n">
        <v>1</v>
      </c>
      <c r="K65" s="15" t="s">
        <v>438</v>
      </c>
      <c r="L65" s="28" t="s">
        <v>217</v>
      </c>
      <c r="M65" s="15"/>
    </row>
    <row r="66" customFormat="false" ht="23.85" hidden="false" customHeight="false" outlineLevel="0" collapsed="false">
      <c r="A66" s="29" t="n">
        <v>65</v>
      </c>
      <c r="B66" s="30" t="n">
        <v>46328</v>
      </c>
      <c r="C66" s="29" t="s">
        <v>211</v>
      </c>
      <c r="D66" s="29" t="s">
        <v>70</v>
      </c>
      <c r="E66" s="29" t="s">
        <v>34</v>
      </c>
      <c r="F66" s="29" t="s">
        <v>229</v>
      </c>
      <c r="G66" s="31" t="s">
        <v>439</v>
      </c>
      <c r="H66" s="29" t="s">
        <v>440</v>
      </c>
      <c r="I66" s="32" t="s">
        <v>441</v>
      </c>
      <c r="J66" s="29" t="n">
        <v>1.5</v>
      </c>
      <c r="K66" s="29" t="s">
        <v>442</v>
      </c>
      <c r="L66" s="33" t="s">
        <v>217</v>
      </c>
      <c r="M66" s="29"/>
    </row>
    <row r="67" customFormat="false" ht="23.85" hidden="false" customHeight="false" outlineLevel="0" collapsed="false">
      <c r="A67" s="29" t="n">
        <v>66</v>
      </c>
      <c r="B67" s="30" t="n">
        <v>46328</v>
      </c>
      <c r="C67" s="29" t="s">
        <v>211</v>
      </c>
      <c r="D67" s="29" t="s">
        <v>70</v>
      </c>
      <c r="E67" s="29" t="s">
        <v>34</v>
      </c>
      <c r="F67" s="29" t="s">
        <v>20</v>
      </c>
      <c r="G67" s="31" t="s">
        <v>443</v>
      </c>
      <c r="H67" s="29" t="s">
        <v>444</v>
      </c>
      <c r="I67" s="32" t="s">
        <v>445</v>
      </c>
      <c r="J67" s="29" t="n">
        <v>2</v>
      </c>
      <c r="K67" s="29" t="s">
        <v>446</v>
      </c>
      <c r="L67" s="33" t="s">
        <v>217</v>
      </c>
      <c r="M67" s="29"/>
    </row>
    <row r="68" customFormat="false" ht="23.85" hidden="false" customHeight="false" outlineLevel="0" collapsed="false">
      <c r="A68" s="29" t="n">
        <v>67</v>
      </c>
      <c r="B68" s="30" t="n">
        <v>46329</v>
      </c>
      <c r="C68" s="29" t="s">
        <v>228</v>
      </c>
      <c r="D68" s="29" t="s">
        <v>70</v>
      </c>
      <c r="E68" s="29" t="s">
        <v>34</v>
      </c>
      <c r="F68" s="29" t="s">
        <v>229</v>
      </c>
      <c r="G68" s="31" t="s">
        <v>447</v>
      </c>
      <c r="H68" s="29" t="s">
        <v>448</v>
      </c>
      <c r="I68" s="32" t="s">
        <v>449</v>
      </c>
      <c r="J68" s="29" t="n">
        <v>1</v>
      </c>
      <c r="K68" s="29"/>
      <c r="L68" s="33" t="s">
        <v>217</v>
      </c>
      <c r="M68" s="29"/>
    </row>
    <row r="69" customFormat="false" ht="23.85" hidden="false" customHeight="false" outlineLevel="0" collapsed="false">
      <c r="A69" s="29" t="n">
        <v>68</v>
      </c>
      <c r="B69" s="30" t="n">
        <v>46329</v>
      </c>
      <c r="C69" s="29" t="s">
        <v>228</v>
      </c>
      <c r="D69" s="29" t="s">
        <v>70</v>
      </c>
      <c r="E69" s="29" t="s">
        <v>34</v>
      </c>
      <c r="F69" s="29" t="s">
        <v>273</v>
      </c>
      <c r="G69" s="31" t="s">
        <v>450</v>
      </c>
      <c r="H69" s="29" t="s">
        <v>451</v>
      </c>
      <c r="I69" s="32" t="s">
        <v>452</v>
      </c>
      <c r="J69" s="29" t="n">
        <v>2.5</v>
      </c>
      <c r="K69" s="29" t="s">
        <v>453</v>
      </c>
      <c r="L69" s="33" t="s">
        <v>217</v>
      </c>
      <c r="M69" s="29"/>
    </row>
    <row r="70" customFormat="false" ht="23.85" hidden="false" customHeight="false" outlineLevel="0" collapsed="false">
      <c r="A70" s="29" t="n">
        <v>69</v>
      </c>
      <c r="B70" s="30" t="n">
        <v>46330</v>
      </c>
      <c r="C70" s="29" t="s">
        <v>238</v>
      </c>
      <c r="D70" s="29" t="s">
        <v>70</v>
      </c>
      <c r="E70" s="29" t="s">
        <v>52</v>
      </c>
      <c r="F70" s="29" t="s">
        <v>256</v>
      </c>
      <c r="G70" s="31" t="s">
        <v>454</v>
      </c>
      <c r="H70" s="29" t="s">
        <v>455</v>
      </c>
      <c r="I70" s="32" t="s">
        <v>456</v>
      </c>
      <c r="J70" s="29" t="n">
        <v>1</v>
      </c>
      <c r="K70" s="29"/>
      <c r="L70" s="33" t="s">
        <v>217</v>
      </c>
      <c r="M70" s="29"/>
    </row>
    <row r="71" customFormat="false" ht="23.85" hidden="false" customHeight="false" outlineLevel="0" collapsed="false">
      <c r="A71" s="29" t="n">
        <v>70</v>
      </c>
      <c r="B71" s="30" t="n">
        <v>46330</v>
      </c>
      <c r="C71" s="29" t="s">
        <v>238</v>
      </c>
      <c r="D71" s="29" t="s">
        <v>70</v>
      </c>
      <c r="E71" s="29" t="s">
        <v>34</v>
      </c>
      <c r="F71" s="29" t="s">
        <v>20</v>
      </c>
      <c r="G71" s="31" t="s">
        <v>457</v>
      </c>
      <c r="H71" s="29" t="s">
        <v>458</v>
      </c>
      <c r="I71" s="32" t="s">
        <v>456</v>
      </c>
      <c r="J71" s="29" t="n">
        <v>2.5</v>
      </c>
      <c r="K71" s="29" t="s">
        <v>459</v>
      </c>
      <c r="L71" s="33" t="s">
        <v>217</v>
      </c>
      <c r="M71" s="29"/>
    </row>
    <row r="72" customFormat="false" ht="23.85" hidden="false" customHeight="false" outlineLevel="0" collapsed="false">
      <c r="A72" s="29" t="n">
        <v>71</v>
      </c>
      <c r="B72" s="30" t="n">
        <v>46331</v>
      </c>
      <c r="C72" s="29" t="s">
        <v>248</v>
      </c>
      <c r="D72" s="29" t="s">
        <v>70</v>
      </c>
      <c r="E72" s="29" t="s">
        <v>34</v>
      </c>
      <c r="F72" s="29" t="s">
        <v>256</v>
      </c>
      <c r="G72" s="31" t="s">
        <v>460</v>
      </c>
      <c r="H72" s="29" t="s">
        <v>461</v>
      </c>
      <c r="I72" s="32" t="s">
        <v>462</v>
      </c>
      <c r="J72" s="29" t="n">
        <v>1</v>
      </c>
      <c r="K72" s="29"/>
      <c r="L72" s="33" t="s">
        <v>217</v>
      </c>
      <c r="M72" s="29"/>
    </row>
    <row r="73" customFormat="false" ht="23.85" hidden="false" customHeight="false" outlineLevel="0" collapsed="false">
      <c r="A73" s="29" t="n">
        <v>72</v>
      </c>
      <c r="B73" s="30" t="n">
        <v>46331</v>
      </c>
      <c r="C73" s="29" t="s">
        <v>248</v>
      </c>
      <c r="D73" s="29" t="s">
        <v>70</v>
      </c>
      <c r="E73" s="29" t="s">
        <v>34</v>
      </c>
      <c r="F73" s="29" t="s">
        <v>256</v>
      </c>
      <c r="G73" s="31" t="s">
        <v>463</v>
      </c>
      <c r="H73" s="29" t="s">
        <v>464</v>
      </c>
      <c r="I73" s="32" t="s">
        <v>465</v>
      </c>
      <c r="J73" s="29" t="n">
        <v>1</v>
      </c>
      <c r="K73" s="29"/>
      <c r="L73" s="33" t="s">
        <v>217</v>
      </c>
      <c r="M73" s="29"/>
    </row>
    <row r="74" customFormat="false" ht="23.85" hidden="false" customHeight="false" outlineLevel="0" collapsed="false">
      <c r="A74" s="29" t="n">
        <v>73</v>
      </c>
      <c r="B74" s="30" t="n">
        <v>46331</v>
      </c>
      <c r="C74" s="29" t="s">
        <v>248</v>
      </c>
      <c r="D74" s="29" t="s">
        <v>70</v>
      </c>
      <c r="E74" s="29" t="s">
        <v>34</v>
      </c>
      <c r="F74" s="29" t="s">
        <v>20</v>
      </c>
      <c r="G74" s="31" t="s">
        <v>466</v>
      </c>
      <c r="H74" s="29" t="s">
        <v>467</v>
      </c>
      <c r="I74" s="32" t="s">
        <v>468</v>
      </c>
      <c r="J74" s="29" t="n">
        <v>1.5</v>
      </c>
      <c r="K74" s="29"/>
      <c r="L74" s="33" t="s">
        <v>217</v>
      </c>
      <c r="M74" s="29"/>
    </row>
    <row r="75" customFormat="false" ht="17.35" hidden="false" customHeight="false" outlineLevel="0" collapsed="false">
      <c r="A75" s="29" t="n">
        <v>74</v>
      </c>
      <c r="B75" s="30" t="n">
        <v>46332</v>
      </c>
      <c r="C75" s="29" t="s">
        <v>261</v>
      </c>
      <c r="D75" s="29" t="s">
        <v>70</v>
      </c>
      <c r="E75" s="29" t="s">
        <v>34</v>
      </c>
      <c r="F75" s="29" t="s">
        <v>256</v>
      </c>
      <c r="G75" s="31" t="s">
        <v>469</v>
      </c>
      <c r="H75" s="29" t="s">
        <v>470</v>
      </c>
      <c r="I75" s="32" t="s">
        <v>471</v>
      </c>
      <c r="J75" s="29" t="n">
        <v>1.5</v>
      </c>
      <c r="K75" s="29"/>
      <c r="L75" s="33" t="s">
        <v>217</v>
      </c>
      <c r="M75" s="29"/>
    </row>
    <row r="76" customFormat="false" ht="23.85" hidden="false" customHeight="false" outlineLevel="0" collapsed="false">
      <c r="A76" s="29" t="n">
        <v>75</v>
      </c>
      <c r="B76" s="30" t="n">
        <v>46332</v>
      </c>
      <c r="C76" s="29" t="s">
        <v>261</v>
      </c>
      <c r="D76" s="29" t="s">
        <v>70</v>
      </c>
      <c r="E76" s="29" t="s">
        <v>34</v>
      </c>
      <c r="F76" s="29" t="s">
        <v>20</v>
      </c>
      <c r="G76" s="31" t="s">
        <v>472</v>
      </c>
      <c r="H76" s="29" t="s">
        <v>473</v>
      </c>
      <c r="I76" s="32" t="s">
        <v>474</v>
      </c>
      <c r="J76" s="29" t="n">
        <v>2</v>
      </c>
      <c r="K76" s="29" t="s">
        <v>475</v>
      </c>
      <c r="L76" s="33" t="s">
        <v>217</v>
      </c>
      <c r="M76" s="29"/>
    </row>
    <row r="77" customFormat="false" ht="23.85" hidden="false" customHeight="false" outlineLevel="0" collapsed="false">
      <c r="A77" s="29" t="n">
        <v>76</v>
      </c>
      <c r="B77" s="30" t="n">
        <v>46333</v>
      </c>
      <c r="C77" s="29" t="s">
        <v>268</v>
      </c>
      <c r="D77" s="29" t="s">
        <v>70</v>
      </c>
      <c r="E77" s="29" t="s">
        <v>34</v>
      </c>
      <c r="F77" s="29" t="s">
        <v>312</v>
      </c>
      <c r="G77" s="31" t="s">
        <v>476</v>
      </c>
      <c r="H77" s="29" t="s">
        <v>477</v>
      </c>
      <c r="I77" s="32" t="s">
        <v>478</v>
      </c>
      <c r="J77" s="29" t="n">
        <v>2.5</v>
      </c>
      <c r="K77" s="29" t="s">
        <v>479</v>
      </c>
      <c r="L77" s="33" t="s">
        <v>217</v>
      </c>
      <c r="M77" s="29"/>
    </row>
    <row r="78" customFormat="false" ht="35.05" hidden="false" customHeight="false" outlineLevel="0" collapsed="false">
      <c r="A78" s="29" t="n">
        <v>77</v>
      </c>
      <c r="B78" s="30" t="n">
        <v>46333</v>
      </c>
      <c r="C78" s="29" t="s">
        <v>268</v>
      </c>
      <c r="D78" s="29" t="s">
        <v>70</v>
      </c>
      <c r="E78" s="29" t="s">
        <v>34</v>
      </c>
      <c r="F78" s="29" t="s">
        <v>223</v>
      </c>
      <c r="G78" s="31" t="s">
        <v>480</v>
      </c>
      <c r="H78" s="29" t="s">
        <v>481</v>
      </c>
      <c r="I78" s="32" t="s">
        <v>482</v>
      </c>
      <c r="J78" s="29" t="n">
        <v>0.5</v>
      </c>
      <c r="K78" s="29" t="s">
        <v>483</v>
      </c>
      <c r="L78" s="33" t="s">
        <v>217</v>
      </c>
      <c r="M78" s="29"/>
    </row>
    <row r="79" customFormat="false" ht="23.85" hidden="false" customHeight="false" outlineLevel="0" collapsed="false">
      <c r="A79" s="29" t="n">
        <v>78</v>
      </c>
      <c r="B79" s="30" t="n">
        <v>46333</v>
      </c>
      <c r="C79" s="29" t="s">
        <v>268</v>
      </c>
      <c r="D79" s="29" t="s">
        <v>70</v>
      </c>
      <c r="E79" s="29" t="s">
        <v>34</v>
      </c>
      <c r="F79" s="29" t="s">
        <v>218</v>
      </c>
      <c r="G79" s="31" t="s">
        <v>484</v>
      </c>
      <c r="H79" s="29" t="s">
        <v>485</v>
      </c>
      <c r="I79" s="32" t="s">
        <v>486</v>
      </c>
      <c r="J79" s="29" t="n">
        <v>1</v>
      </c>
      <c r="K79" s="29" t="s">
        <v>487</v>
      </c>
      <c r="L79" s="33" t="s">
        <v>217</v>
      </c>
      <c r="M79" s="29"/>
    </row>
    <row r="80" customFormat="false" ht="23.85" hidden="false" customHeight="false" outlineLevel="0" collapsed="false">
      <c r="A80" s="15" t="n">
        <v>79</v>
      </c>
      <c r="B80" s="25" t="n">
        <v>46335</v>
      </c>
      <c r="C80" s="15" t="s">
        <v>211</v>
      </c>
      <c r="D80" s="15" t="s">
        <v>72</v>
      </c>
      <c r="E80" s="15" t="s">
        <v>36</v>
      </c>
      <c r="F80" s="15" t="s">
        <v>223</v>
      </c>
      <c r="G80" s="26" t="s">
        <v>488</v>
      </c>
      <c r="H80" s="15" t="s">
        <v>489</v>
      </c>
      <c r="I80" s="27" t="s">
        <v>490</v>
      </c>
      <c r="J80" s="15" t="n">
        <v>1.5</v>
      </c>
      <c r="K80" s="15"/>
      <c r="L80" s="28" t="s">
        <v>217</v>
      </c>
      <c r="M80" s="15"/>
    </row>
    <row r="81" customFormat="false" ht="23.85" hidden="false" customHeight="false" outlineLevel="0" collapsed="false">
      <c r="A81" s="15" t="n">
        <v>80</v>
      </c>
      <c r="B81" s="25" t="n">
        <v>46335</v>
      </c>
      <c r="C81" s="15" t="s">
        <v>211</v>
      </c>
      <c r="D81" s="15" t="s">
        <v>72</v>
      </c>
      <c r="E81" s="15" t="s">
        <v>36</v>
      </c>
      <c r="F81" s="15" t="s">
        <v>273</v>
      </c>
      <c r="G81" s="26" t="s">
        <v>491</v>
      </c>
      <c r="H81" s="15" t="s">
        <v>492</v>
      </c>
      <c r="I81" s="27" t="s">
        <v>490</v>
      </c>
      <c r="J81" s="15" t="n">
        <v>2</v>
      </c>
      <c r="K81" s="15" t="s">
        <v>493</v>
      </c>
      <c r="L81" s="28" t="s">
        <v>217</v>
      </c>
      <c r="M81" s="15"/>
    </row>
    <row r="82" customFormat="false" ht="23.85" hidden="false" customHeight="false" outlineLevel="0" collapsed="false">
      <c r="A82" s="15" t="n">
        <v>81</v>
      </c>
      <c r="B82" s="25" t="n">
        <v>46336</v>
      </c>
      <c r="C82" s="15" t="s">
        <v>228</v>
      </c>
      <c r="D82" s="15" t="s">
        <v>72</v>
      </c>
      <c r="E82" s="15" t="s">
        <v>52</v>
      </c>
      <c r="F82" s="15" t="s">
        <v>256</v>
      </c>
      <c r="G82" s="26" t="s">
        <v>494</v>
      </c>
      <c r="H82" s="15" t="s">
        <v>495</v>
      </c>
      <c r="I82" s="27" t="s">
        <v>496</v>
      </c>
      <c r="J82" s="15" t="n">
        <v>1.5</v>
      </c>
      <c r="K82" s="15" t="s">
        <v>497</v>
      </c>
      <c r="L82" s="28" t="s">
        <v>217</v>
      </c>
      <c r="M82" s="15"/>
    </row>
    <row r="83" customFormat="false" ht="23.85" hidden="false" customHeight="false" outlineLevel="0" collapsed="false">
      <c r="A83" s="15" t="n">
        <v>82</v>
      </c>
      <c r="B83" s="25" t="n">
        <v>46336</v>
      </c>
      <c r="C83" s="15" t="s">
        <v>228</v>
      </c>
      <c r="D83" s="15" t="s">
        <v>72</v>
      </c>
      <c r="E83" s="15" t="s">
        <v>36</v>
      </c>
      <c r="F83" s="15" t="s">
        <v>20</v>
      </c>
      <c r="G83" s="26" t="s">
        <v>498</v>
      </c>
      <c r="H83" s="15" t="s">
        <v>499</v>
      </c>
      <c r="I83" s="27" t="s">
        <v>500</v>
      </c>
      <c r="J83" s="15" t="n">
        <v>2</v>
      </c>
      <c r="K83" s="15" t="s">
        <v>501</v>
      </c>
      <c r="L83" s="28" t="s">
        <v>217</v>
      </c>
      <c r="M83" s="15"/>
    </row>
    <row r="84" customFormat="false" ht="23.85" hidden="false" customHeight="false" outlineLevel="0" collapsed="false">
      <c r="A84" s="15" t="n">
        <v>83</v>
      </c>
      <c r="B84" s="25" t="n">
        <v>46337</v>
      </c>
      <c r="C84" s="15" t="s">
        <v>238</v>
      </c>
      <c r="D84" s="15" t="s">
        <v>72</v>
      </c>
      <c r="E84" s="15" t="s">
        <v>36</v>
      </c>
      <c r="F84" s="15" t="s">
        <v>223</v>
      </c>
      <c r="G84" s="26" t="s">
        <v>502</v>
      </c>
      <c r="H84" s="15" t="s">
        <v>503</v>
      </c>
      <c r="I84" s="27" t="s">
        <v>504</v>
      </c>
      <c r="J84" s="15" t="n">
        <v>1</v>
      </c>
      <c r="K84" s="15"/>
      <c r="L84" s="28" t="s">
        <v>217</v>
      </c>
      <c r="M84" s="15"/>
    </row>
    <row r="85" customFormat="false" ht="23.85" hidden="false" customHeight="false" outlineLevel="0" collapsed="false">
      <c r="A85" s="15" t="n">
        <v>84</v>
      </c>
      <c r="B85" s="25" t="n">
        <v>46337</v>
      </c>
      <c r="C85" s="15" t="s">
        <v>238</v>
      </c>
      <c r="D85" s="15" t="s">
        <v>72</v>
      </c>
      <c r="E85" s="15" t="s">
        <v>36</v>
      </c>
      <c r="F85" s="15" t="s">
        <v>20</v>
      </c>
      <c r="G85" s="26" t="s">
        <v>505</v>
      </c>
      <c r="H85" s="15" t="s">
        <v>506</v>
      </c>
      <c r="I85" s="27" t="s">
        <v>507</v>
      </c>
      <c r="J85" s="15" t="n">
        <v>2.5</v>
      </c>
      <c r="K85" s="15" t="s">
        <v>508</v>
      </c>
      <c r="L85" s="28" t="s">
        <v>217</v>
      </c>
      <c r="M85" s="15"/>
    </row>
    <row r="86" customFormat="false" ht="23.85" hidden="false" customHeight="false" outlineLevel="0" collapsed="false">
      <c r="A86" s="15" t="n">
        <v>85</v>
      </c>
      <c r="B86" s="25" t="n">
        <v>46338</v>
      </c>
      <c r="C86" s="15" t="s">
        <v>248</v>
      </c>
      <c r="D86" s="15" t="s">
        <v>72</v>
      </c>
      <c r="E86" s="15" t="s">
        <v>36</v>
      </c>
      <c r="F86" s="15" t="s">
        <v>229</v>
      </c>
      <c r="G86" s="26" t="s">
        <v>509</v>
      </c>
      <c r="H86" s="15" t="s">
        <v>510</v>
      </c>
      <c r="I86" s="27" t="s">
        <v>511</v>
      </c>
      <c r="J86" s="15" t="n">
        <v>1</v>
      </c>
      <c r="K86" s="15"/>
      <c r="L86" s="28" t="s">
        <v>217</v>
      </c>
      <c r="M86" s="15"/>
    </row>
    <row r="87" customFormat="false" ht="23.85" hidden="false" customHeight="false" outlineLevel="0" collapsed="false">
      <c r="A87" s="15" t="n">
        <v>86</v>
      </c>
      <c r="B87" s="25" t="n">
        <v>46338</v>
      </c>
      <c r="C87" s="15" t="s">
        <v>248</v>
      </c>
      <c r="D87" s="15" t="s">
        <v>72</v>
      </c>
      <c r="E87" s="15" t="s">
        <v>36</v>
      </c>
      <c r="F87" s="15" t="s">
        <v>223</v>
      </c>
      <c r="G87" s="26" t="s">
        <v>512</v>
      </c>
      <c r="H87" s="15" t="s">
        <v>513</v>
      </c>
      <c r="I87" s="27" t="s">
        <v>486</v>
      </c>
      <c r="J87" s="15" t="n">
        <v>1</v>
      </c>
      <c r="K87" s="15" t="s">
        <v>514</v>
      </c>
      <c r="L87" s="28" t="s">
        <v>217</v>
      </c>
      <c r="M87" s="15"/>
    </row>
    <row r="88" customFormat="false" ht="23.85" hidden="false" customHeight="false" outlineLevel="0" collapsed="false">
      <c r="A88" s="15" t="n">
        <v>87</v>
      </c>
      <c r="B88" s="25" t="n">
        <v>46338</v>
      </c>
      <c r="C88" s="15" t="s">
        <v>248</v>
      </c>
      <c r="D88" s="15" t="s">
        <v>72</v>
      </c>
      <c r="E88" s="15" t="s">
        <v>36</v>
      </c>
      <c r="F88" s="15" t="s">
        <v>20</v>
      </c>
      <c r="G88" s="26" t="s">
        <v>515</v>
      </c>
      <c r="H88" s="15" t="s">
        <v>516</v>
      </c>
      <c r="I88" s="27" t="s">
        <v>517</v>
      </c>
      <c r="J88" s="15" t="n">
        <v>1.5</v>
      </c>
      <c r="K88" s="15"/>
      <c r="L88" s="28" t="s">
        <v>217</v>
      </c>
      <c r="M88" s="15"/>
    </row>
    <row r="89" customFormat="false" ht="23.85" hidden="false" customHeight="false" outlineLevel="0" collapsed="false">
      <c r="A89" s="15" t="n">
        <v>88</v>
      </c>
      <c r="B89" s="25" t="n">
        <v>46339</v>
      </c>
      <c r="C89" s="15" t="s">
        <v>261</v>
      </c>
      <c r="D89" s="15" t="s">
        <v>72</v>
      </c>
      <c r="E89" s="15" t="s">
        <v>36</v>
      </c>
      <c r="F89" s="15" t="s">
        <v>223</v>
      </c>
      <c r="G89" s="26" t="s">
        <v>518</v>
      </c>
      <c r="H89" s="15" t="s">
        <v>519</v>
      </c>
      <c r="I89" s="27" t="s">
        <v>520</v>
      </c>
      <c r="J89" s="15" t="n">
        <v>1.5</v>
      </c>
      <c r="K89" s="15"/>
      <c r="L89" s="28" t="s">
        <v>217</v>
      </c>
      <c r="M89" s="15"/>
    </row>
    <row r="90" customFormat="false" ht="23.85" hidden="false" customHeight="false" outlineLevel="0" collapsed="false">
      <c r="A90" s="15" t="n">
        <v>89</v>
      </c>
      <c r="B90" s="25" t="n">
        <v>46339</v>
      </c>
      <c r="C90" s="15" t="s">
        <v>261</v>
      </c>
      <c r="D90" s="15" t="s">
        <v>72</v>
      </c>
      <c r="E90" s="15" t="s">
        <v>36</v>
      </c>
      <c r="F90" s="15" t="s">
        <v>20</v>
      </c>
      <c r="G90" s="26" t="s">
        <v>521</v>
      </c>
      <c r="H90" s="15" t="s">
        <v>522</v>
      </c>
      <c r="I90" s="27" t="s">
        <v>523</v>
      </c>
      <c r="J90" s="15" t="n">
        <v>2</v>
      </c>
      <c r="K90" s="15" t="s">
        <v>524</v>
      </c>
      <c r="L90" s="28" t="s">
        <v>217</v>
      </c>
      <c r="M90" s="15"/>
    </row>
    <row r="91" customFormat="false" ht="23.85" hidden="false" customHeight="false" outlineLevel="0" collapsed="false">
      <c r="A91" s="15" t="n">
        <v>90</v>
      </c>
      <c r="B91" s="25" t="n">
        <v>46340</v>
      </c>
      <c r="C91" s="15" t="s">
        <v>268</v>
      </c>
      <c r="D91" s="15" t="s">
        <v>72</v>
      </c>
      <c r="E91" s="15" t="s">
        <v>36</v>
      </c>
      <c r="F91" s="15" t="s">
        <v>312</v>
      </c>
      <c r="G91" s="26" t="s">
        <v>525</v>
      </c>
      <c r="H91" s="15" t="s">
        <v>526</v>
      </c>
      <c r="I91" s="27" t="s">
        <v>500</v>
      </c>
      <c r="J91" s="15" t="n">
        <v>3</v>
      </c>
      <c r="K91" s="15" t="s">
        <v>527</v>
      </c>
      <c r="L91" s="28" t="s">
        <v>217</v>
      </c>
      <c r="M91" s="15"/>
    </row>
    <row r="92" customFormat="false" ht="23.85" hidden="false" customHeight="false" outlineLevel="0" collapsed="false">
      <c r="A92" s="15" t="n">
        <v>91</v>
      </c>
      <c r="B92" s="25" t="n">
        <v>46340</v>
      </c>
      <c r="C92" s="15" t="s">
        <v>268</v>
      </c>
      <c r="D92" s="15" t="s">
        <v>72</v>
      </c>
      <c r="E92" s="15" t="s">
        <v>36</v>
      </c>
      <c r="F92" s="15" t="s">
        <v>218</v>
      </c>
      <c r="G92" s="26" t="s">
        <v>528</v>
      </c>
      <c r="H92" s="15" t="s">
        <v>529</v>
      </c>
      <c r="I92" s="27" t="s">
        <v>486</v>
      </c>
      <c r="J92" s="15" t="n">
        <v>1</v>
      </c>
      <c r="K92" s="15" t="s">
        <v>530</v>
      </c>
      <c r="L92" s="28" t="s">
        <v>217</v>
      </c>
      <c r="M92" s="15"/>
    </row>
    <row r="93" customFormat="false" ht="23.85" hidden="false" customHeight="false" outlineLevel="0" collapsed="false">
      <c r="A93" s="29" t="n">
        <v>92</v>
      </c>
      <c r="B93" s="30" t="n">
        <v>46342</v>
      </c>
      <c r="C93" s="29" t="s">
        <v>211</v>
      </c>
      <c r="D93" s="29" t="s">
        <v>74</v>
      </c>
      <c r="E93" s="29" t="s">
        <v>38</v>
      </c>
      <c r="F93" s="29" t="s">
        <v>229</v>
      </c>
      <c r="G93" s="31" t="s">
        <v>531</v>
      </c>
      <c r="H93" s="29" t="s">
        <v>532</v>
      </c>
      <c r="I93" s="32" t="s">
        <v>533</v>
      </c>
      <c r="J93" s="29" t="n">
        <v>1.5</v>
      </c>
      <c r="K93" s="29" t="s">
        <v>534</v>
      </c>
      <c r="L93" s="33" t="s">
        <v>217</v>
      </c>
      <c r="M93" s="29"/>
    </row>
    <row r="94" customFormat="false" ht="23.85" hidden="false" customHeight="false" outlineLevel="0" collapsed="false">
      <c r="A94" s="29" t="n">
        <v>93</v>
      </c>
      <c r="B94" s="30" t="n">
        <v>46342</v>
      </c>
      <c r="C94" s="29" t="s">
        <v>211</v>
      </c>
      <c r="D94" s="29" t="s">
        <v>74</v>
      </c>
      <c r="E94" s="29" t="s">
        <v>38</v>
      </c>
      <c r="F94" s="29" t="s">
        <v>223</v>
      </c>
      <c r="G94" s="31" t="s">
        <v>535</v>
      </c>
      <c r="H94" s="29" t="s">
        <v>536</v>
      </c>
      <c r="I94" s="32" t="s">
        <v>537</v>
      </c>
      <c r="J94" s="29" t="n">
        <v>2</v>
      </c>
      <c r="K94" s="29"/>
      <c r="L94" s="33" t="s">
        <v>217</v>
      </c>
      <c r="M94" s="29"/>
    </row>
    <row r="95" customFormat="false" ht="23.85" hidden="false" customHeight="false" outlineLevel="0" collapsed="false">
      <c r="A95" s="29" t="n">
        <v>94</v>
      </c>
      <c r="B95" s="30" t="n">
        <v>46343</v>
      </c>
      <c r="C95" s="29" t="s">
        <v>228</v>
      </c>
      <c r="D95" s="29" t="s">
        <v>74</v>
      </c>
      <c r="E95" s="29" t="s">
        <v>38</v>
      </c>
      <c r="F95" s="29" t="s">
        <v>20</v>
      </c>
      <c r="G95" s="31" t="s">
        <v>538</v>
      </c>
      <c r="H95" s="29" t="s">
        <v>539</v>
      </c>
      <c r="I95" s="32" t="s">
        <v>540</v>
      </c>
      <c r="J95" s="29" t="n">
        <v>3.5</v>
      </c>
      <c r="K95" s="29" t="s">
        <v>541</v>
      </c>
      <c r="L95" s="33" t="s">
        <v>217</v>
      </c>
      <c r="M95" s="29"/>
    </row>
    <row r="96" customFormat="false" ht="23.85" hidden="false" customHeight="false" outlineLevel="0" collapsed="false">
      <c r="A96" s="29" t="n">
        <v>95</v>
      </c>
      <c r="B96" s="30" t="n">
        <v>46344</v>
      </c>
      <c r="C96" s="29" t="s">
        <v>238</v>
      </c>
      <c r="D96" s="29" t="s">
        <v>74</v>
      </c>
      <c r="E96" s="29" t="s">
        <v>38</v>
      </c>
      <c r="F96" s="29" t="s">
        <v>256</v>
      </c>
      <c r="G96" s="31" t="s">
        <v>542</v>
      </c>
      <c r="H96" s="29" t="s">
        <v>543</v>
      </c>
      <c r="I96" s="32" t="s">
        <v>544</v>
      </c>
      <c r="J96" s="29" t="n">
        <v>1</v>
      </c>
      <c r="K96" s="29"/>
      <c r="L96" s="33" t="s">
        <v>217</v>
      </c>
      <c r="M96" s="29"/>
    </row>
    <row r="97" customFormat="false" ht="23.85" hidden="false" customHeight="false" outlineLevel="0" collapsed="false">
      <c r="A97" s="29" t="n">
        <v>96</v>
      </c>
      <c r="B97" s="30" t="n">
        <v>46344</v>
      </c>
      <c r="C97" s="29" t="s">
        <v>238</v>
      </c>
      <c r="D97" s="29" t="s">
        <v>74</v>
      </c>
      <c r="E97" s="29" t="s">
        <v>38</v>
      </c>
      <c r="F97" s="29" t="s">
        <v>20</v>
      </c>
      <c r="G97" s="31" t="s">
        <v>545</v>
      </c>
      <c r="H97" s="29" t="s">
        <v>546</v>
      </c>
      <c r="I97" s="32" t="s">
        <v>547</v>
      </c>
      <c r="J97" s="29" t="n">
        <v>2.5</v>
      </c>
      <c r="K97" s="29" t="s">
        <v>548</v>
      </c>
      <c r="L97" s="33" t="s">
        <v>217</v>
      </c>
      <c r="M97" s="29"/>
    </row>
    <row r="98" customFormat="false" ht="23.85" hidden="false" customHeight="false" outlineLevel="0" collapsed="false">
      <c r="A98" s="29" t="n">
        <v>97</v>
      </c>
      <c r="B98" s="30" t="n">
        <v>46345</v>
      </c>
      <c r="C98" s="29" t="s">
        <v>248</v>
      </c>
      <c r="D98" s="29" t="s">
        <v>74</v>
      </c>
      <c r="E98" s="29" t="s">
        <v>38</v>
      </c>
      <c r="F98" s="29" t="s">
        <v>256</v>
      </c>
      <c r="G98" s="31" t="s">
        <v>549</v>
      </c>
      <c r="H98" s="29" t="s">
        <v>550</v>
      </c>
      <c r="I98" s="32" t="s">
        <v>551</v>
      </c>
      <c r="J98" s="29" t="n">
        <v>1</v>
      </c>
      <c r="K98" s="29"/>
      <c r="L98" s="33" t="s">
        <v>217</v>
      </c>
      <c r="M98" s="29"/>
    </row>
    <row r="99" customFormat="false" ht="23.85" hidden="false" customHeight="false" outlineLevel="0" collapsed="false">
      <c r="A99" s="29" t="n">
        <v>98</v>
      </c>
      <c r="B99" s="30" t="n">
        <v>46345</v>
      </c>
      <c r="C99" s="29" t="s">
        <v>248</v>
      </c>
      <c r="D99" s="29" t="s">
        <v>74</v>
      </c>
      <c r="E99" s="29" t="s">
        <v>38</v>
      </c>
      <c r="F99" s="29" t="s">
        <v>273</v>
      </c>
      <c r="G99" s="31" t="s">
        <v>552</v>
      </c>
      <c r="H99" s="29" t="s">
        <v>553</v>
      </c>
      <c r="I99" s="32" t="s">
        <v>554</v>
      </c>
      <c r="J99" s="29" t="n">
        <v>2.5</v>
      </c>
      <c r="K99" s="29" t="s">
        <v>555</v>
      </c>
      <c r="L99" s="33" t="s">
        <v>217</v>
      </c>
      <c r="M99" s="29"/>
    </row>
    <row r="100" customFormat="false" ht="23.85" hidden="false" customHeight="false" outlineLevel="0" collapsed="false">
      <c r="A100" s="29" t="n">
        <v>99</v>
      </c>
      <c r="B100" s="30" t="n">
        <v>46346</v>
      </c>
      <c r="C100" s="29" t="s">
        <v>261</v>
      </c>
      <c r="D100" s="29" t="s">
        <v>74</v>
      </c>
      <c r="E100" s="29" t="s">
        <v>38</v>
      </c>
      <c r="F100" s="29" t="s">
        <v>223</v>
      </c>
      <c r="G100" s="31" t="s">
        <v>556</v>
      </c>
      <c r="H100" s="29" t="s">
        <v>557</v>
      </c>
      <c r="I100" s="32" t="s">
        <v>558</v>
      </c>
      <c r="J100" s="29" t="n">
        <v>1.5</v>
      </c>
      <c r="K100" s="29"/>
      <c r="L100" s="33" t="s">
        <v>217</v>
      </c>
      <c r="M100" s="29"/>
    </row>
    <row r="101" customFormat="false" ht="17.35" hidden="false" customHeight="false" outlineLevel="0" collapsed="false">
      <c r="A101" s="29" t="n">
        <v>100</v>
      </c>
      <c r="B101" s="30" t="n">
        <v>46346</v>
      </c>
      <c r="C101" s="29" t="s">
        <v>261</v>
      </c>
      <c r="D101" s="29" t="s">
        <v>74</v>
      </c>
      <c r="E101" s="29" t="s">
        <v>38</v>
      </c>
      <c r="F101" s="29" t="s">
        <v>20</v>
      </c>
      <c r="G101" s="31" t="s">
        <v>559</v>
      </c>
      <c r="H101" s="29" t="s">
        <v>560</v>
      </c>
      <c r="I101" s="32" t="s">
        <v>558</v>
      </c>
      <c r="J101" s="29" t="n">
        <v>2</v>
      </c>
      <c r="K101" s="29" t="s">
        <v>561</v>
      </c>
      <c r="L101" s="33" t="s">
        <v>217</v>
      </c>
      <c r="M101" s="29"/>
    </row>
    <row r="102" customFormat="false" ht="23.85" hidden="false" customHeight="false" outlineLevel="0" collapsed="false">
      <c r="A102" s="29" t="n">
        <v>101</v>
      </c>
      <c r="B102" s="30" t="n">
        <v>46347</v>
      </c>
      <c r="C102" s="29" t="s">
        <v>268</v>
      </c>
      <c r="D102" s="29" t="s">
        <v>74</v>
      </c>
      <c r="E102" s="29" t="s">
        <v>52</v>
      </c>
      <c r="F102" s="29" t="s">
        <v>273</v>
      </c>
      <c r="G102" s="31" t="s">
        <v>562</v>
      </c>
      <c r="H102" s="29" t="s">
        <v>563</v>
      </c>
      <c r="I102" s="32" t="s">
        <v>547</v>
      </c>
      <c r="J102" s="29" t="n">
        <v>3</v>
      </c>
      <c r="K102" s="29" t="s">
        <v>564</v>
      </c>
      <c r="L102" s="33" t="s">
        <v>217</v>
      </c>
      <c r="M102" s="29"/>
    </row>
    <row r="103" customFormat="false" ht="23.85" hidden="false" customHeight="false" outlineLevel="0" collapsed="false">
      <c r="A103" s="29" t="n">
        <v>102</v>
      </c>
      <c r="B103" s="30" t="n">
        <v>46347</v>
      </c>
      <c r="C103" s="29" t="s">
        <v>268</v>
      </c>
      <c r="D103" s="29" t="s">
        <v>74</v>
      </c>
      <c r="E103" s="29" t="s">
        <v>38</v>
      </c>
      <c r="F103" s="29" t="s">
        <v>218</v>
      </c>
      <c r="G103" s="31" t="s">
        <v>565</v>
      </c>
      <c r="H103" s="29" t="s">
        <v>566</v>
      </c>
      <c r="I103" s="32" t="s">
        <v>544</v>
      </c>
      <c r="J103" s="29" t="n">
        <v>1</v>
      </c>
      <c r="K103" s="29" t="s">
        <v>567</v>
      </c>
      <c r="L103" s="33" t="s">
        <v>217</v>
      </c>
      <c r="M103" s="29"/>
    </row>
    <row r="104" customFormat="false" ht="23.85" hidden="false" customHeight="false" outlineLevel="0" collapsed="false">
      <c r="A104" s="15" t="n">
        <v>103</v>
      </c>
      <c r="B104" s="25" t="n">
        <v>46349</v>
      </c>
      <c r="C104" s="15" t="s">
        <v>211</v>
      </c>
      <c r="D104" s="15" t="s">
        <v>76</v>
      </c>
      <c r="E104" s="15" t="s">
        <v>50</v>
      </c>
      <c r="F104" s="15" t="s">
        <v>223</v>
      </c>
      <c r="G104" s="26" t="s">
        <v>568</v>
      </c>
      <c r="H104" s="15" t="s">
        <v>569</v>
      </c>
      <c r="I104" s="27" t="s">
        <v>570</v>
      </c>
      <c r="J104" s="15" t="n">
        <v>1.5</v>
      </c>
      <c r="K104" s="15"/>
      <c r="L104" s="28" t="s">
        <v>217</v>
      </c>
      <c r="M104" s="15"/>
    </row>
    <row r="105" customFormat="false" ht="23.85" hidden="false" customHeight="false" outlineLevel="0" collapsed="false">
      <c r="A105" s="15" t="n">
        <v>104</v>
      </c>
      <c r="B105" s="25" t="n">
        <v>46349</v>
      </c>
      <c r="C105" s="15" t="s">
        <v>211</v>
      </c>
      <c r="D105" s="15" t="s">
        <v>76</v>
      </c>
      <c r="E105" s="15" t="s">
        <v>50</v>
      </c>
      <c r="F105" s="15" t="s">
        <v>20</v>
      </c>
      <c r="G105" s="26" t="s">
        <v>571</v>
      </c>
      <c r="H105" s="15" t="s">
        <v>572</v>
      </c>
      <c r="I105" s="27" t="s">
        <v>573</v>
      </c>
      <c r="J105" s="15" t="n">
        <v>2</v>
      </c>
      <c r="K105" s="15" t="s">
        <v>574</v>
      </c>
      <c r="L105" s="28" t="s">
        <v>217</v>
      </c>
      <c r="M105" s="15"/>
    </row>
    <row r="106" customFormat="false" ht="23.85" hidden="false" customHeight="false" outlineLevel="0" collapsed="false">
      <c r="A106" s="15" t="n">
        <v>105</v>
      </c>
      <c r="B106" s="25" t="n">
        <v>46350</v>
      </c>
      <c r="C106" s="15" t="s">
        <v>228</v>
      </c>
      <c r="D106" s="15" t="s">
        <v>76</v>
      </c>
      <c r="E106" s="15" t="s">
        <v>50</v>
      </c>
      <c r="F106" s="15" t="s">
        <v>256</v>
      </c>
      <c r="G106" s="26" t="s">
        <v>575</v>
      </c>
      <c r="H106" s="15" t="s">
        <v>576</v>
      </c>
      <c r="I106" s="27" t="s">
        <v>577</v>
      </c>
      <c r="J106" s="15" t="n">
        <v>1.5</v>
      </c>
      <c r="K106" s="15" t="s">
        <v>578</v>
      </c>
      <c r="L106" s="28" t="s">
        <v>217</v>
      </c>
      <c r="M106" s="15"/>
    </row>
    <row r="107" customFormat="false" ht="23.85" hidden="false" customHeight="false" outlineLevel="0" collapsed="false">
      <c r="A107" s="15" t="n">
        <v>106</v>
      </c>
      <c r="B107" s="25" t="n">
        <v>46350</v>
      </c>
      <c r="C107" s="15" t="s">
        <v>228</v>
      </c>
      <c r="D107" s="15" t="s">
        <v>76</v>
      </c>
      <c r="E107" s="15" t="s">
        <v>50</v>
      </c>
      <c r="F107" s="15" t="s">
        <v>229</v>
      </c>
      <c r="G107" s="26" t="s">
        <v>579</v>
      </c>
      <c r="H107" s="15" t="s">
        <v>580</v>
      </c>
      <c r="I107" s="27" t="s">
        <v>581</v>
      </c>
      <c r="J107" s="15" t="n">
        <v>1</v>
      </c>
      <c r="K107" s="15"/>
      <c r="L107" s="28" t="s">
        <v>217</v>
      </c>
      <c r="M107" s="15"/>
    </row>
    <row r="108" customFormat="false" ht="23.85" hidden="false" customHeight="false" outlineLevel="0" collapsed="false">
      <c r="A108" s="15" t="n">
        <v>107</v>
      </c>
      <c r="B108" s="25" t="n">
        <v>46350</v>
      </c>
      <c r="C108" s="15" t="s">
        <v>228</v>
      </c>
      <c r="D108" s="15" t="s">
        <v>76</v>
      </c>
      <c r="E108" s="15" t="s">
        <v>50</v>
      </c>
      <c r="F108" s="15" t="s">
        <v>20</v>
      </c>
      <c r="G108" s="26" t="s">
        <v>582</v>
      </c>
      <c r="H108" s="15" t="s">
        <v>583</v>
      </c>
      <c r="I108" s="27" t="s">
        <v>584</v>
      </c>
      <c r="J108" s="15" t="n">
        <v>1</v>
      </c>
      <c r="K108" s="15" t="s">
        <v>585</v>
      </c>
      <c r="L108" s="28" t="s">
        <v>217</v>
      </c>
      <c r="M108" s="15"/>
    </row>
    <row r="109" customFormat="false" ht="23.85" hidden="false" customHeight="false" outlineLevel="0" collapsed="false">
      <c r="A109" s="15" t="n">
        <v>108</v>
      </c>
      <c r="B109" s="25" t="n">
        <v>46351</v>
      </c>
      <c r="C109" s="15" t="s">
        <v>238</v>
      </c>
      <c r="D109" s="15" t="s">
        <v>76</v>
      </c>
      <c r="E109" s="15" t="s">
        <v>38</v>
      </c>
      <c r="F109" s="15" t="s">
        <v>256</v>
      </c>
      <c r="G109" s="26" t="s">
        <v>586</v>
      </c>
      <c r="H109" s="15" t="s">
        <v>587</v>
      </c>
      <c r="I109" s="27" t="s">
        <v>588</v>
      </c>
      <c r="J109" s="15" t="n">
        <v>1</v>
      </c>
      <c r="K109" s="15"/>
      <c r="L109" s="28" t="s">
        <v>217</v>
      </c>
      <c r="M109" s="15"/>
    </row>
    <row r="110" customFormat="false" ht="23.85" hidden="false" customHeight="false" outlineLevel="0" collapsed="false">
      <c r="A110" s="15" t="n">
        <v>109</v>
      </c>
      <c r="B110" s="25" t="n">
        <v>46351</v>
      </c>
      <c r="C110" s="15" t="s">
        <v>238</v>
      </c>
      <c r="D110" s="15" t="s">
        <v>76</v>
      </c>
      <c r="E110" s="15" t="s">
        <v>38</v>
      </c>
      <c r="F110" s="15" t="s">
        <v>20</v>
      </c>
      <c r="G110" s="26" t="s">
        <v>589</v>
      </c>
      <c r="H110" s="15" t="s">
        <v>590</v>
      </c>
      <c r="I110" s="27" t="s">
        <v>591</v>
      </c>
      <c r="J110" s="15" t="n">
        <v>2.5</v>
      </c>
      <c r="K110" s="15" t="s">
        <v>592</v>
      </c>
      <c r="L110" s="28" t="s">
        <v>217</v>
      </c>
      <c r="M110" s="15"/>
    </row>
    <row r="111" customFormat="false" ht="23.85" hidden="false" customHeight="false" outlineLevel="0" collapsed="false">
      <c r="A111" s="15" t="n">
        <v>110</v>
      </c>
      <c r="B111" s="25" t="n">
        <v>46352</v>
      </c>
      <c r="C111" s="15" t="s">
        <v>248</v>
      </c>
      <c r="D111" s="15" t="s">
        <v>76</v>
      </c>
      <c r="E111" s="15" t="s">
        <v>50</v>
      </c>
      <c r="F111" s="15" t="s">
        <v>256</v>
      </c>
      <c r="G111" s="26" t="s">
        <v>593</v>
      </c>
      <c r="H111" s="15" t="s">
        <v>594</v>
      </c>
      <c r="I111" s="27" t="s">
        <v>595</v>
      </c>
      <c r="J111" s="15" t="n">
        <v>2</v>
      </c>
      <c r="K111" s="15" t="s">
        <v>596</v>
      </c>
      <c r="L111" s="28" t="s">
        <v>217</v>
      </c>
      <c r="M111" s="15"/>
    </row>
    <row r="112" customFormat="false" ht="23.85" hidden="false" customHeight="false" outlineLevel="0" collapsed="false">
      <c r="A112" s="15" t="n">
        <v>111</v>
      </c>
      <c r="B112" s="25" t="n">
        <v>46352</v>
      </c>
      <c r="C112" s="15" t="s">
        <v>248</v>
      </c>
      <c r="D112" s="15" t="s">
        <v>76</v>
      </c>
      <c r="E112" s="15" t="s">
        <v>50</v>
      </c>
      <c r="F112" s="15" t="s">
        <v>223</v>
      </c>
      <c r="G112" s="26" t="s">
        <v>597</v>
      </c>
      <c r="H112" s="15" t="s">
        <v>598</v>
      </c>
      <c r="I112" s="27" t="s">
        <v>599</v>
      </c>
      <c r="J112" s="15" t="n">
        <v>1.5</v>
      </c>
      <c r="K112" s="15" t="s">
        <v>600</v>
      </c>
      <c r="L112" s="28" t="s">
        <v>217</v>
      </c>
      <c r="M112" s="15"/>
    </row>
    <row r="113" customFormat="false" ht="23.85" hidden="false" customHeight="false" outlineLevel="0" collapsed="false">
      <c r="A113" s="15" t="n">
        <v>112</v>
      </c>
      <c r="B113" s="25" t="n">
        <v>46353</v>
      </c>
      <c r="C113" s="15" t="s">
        <v>261</v>
      </c>
      <c r="D113" s="15" t="s">
        <v>76</v>
      </c>
      <c r="E113" s="15" t="s">
        <v>50</v>
      </c>
      <c r="F113" s="15" t="s">
        <v>256</v>
      </c>
      <c r="G113" s="26" t="s">
        <v>601</v>
      </c>
      <c r="H113" s="15" t="s">
        <v>602</v>
      </c>
      <c r="I113" s="27" t="s">
        <v>603</v>
      </c>
      <c r="J113" s="15" t="n">
        <v>1</v>
      </c>
      <c r="K113" s="15"/>
      <c r="L113" s="28" t="s">
        <v>217</v>
      </c>
      <c r="M113" s="15"/>
    </row>
    <row r="114" customFormat="false" ht="23.85" hidden="false" customHeight="false" outlineLevel="0" collapsed="false">
      <c r="A114" s="15" t="n">
        <v>113</v>
      </c>
      <c r="B114" s="25" t="n">
        <v>46353</v>
      </c>
      <c r="C114" s="15" t="s">
        <v>261</v>
      </c>
      <c r="D114" s="15" t="s">
        <v>76</v>
      </c>
      <c r="E114" s="15" t="s">
        <v>50</v>
      </c>
      <c r="F114" s="15" t="s">
        <v>20</v>
      </c>
      <c r="G114" s="26" t="s">
        <v>604</v>
      </c>
      <c r="H114" s="15" t="s">
        <v>605</v>
      </c>
      <c r="I114" s="27" t="s">
        <v>606</v>
      </c>
      <c r="J114" s="15" t="n">
        <v>2.5</v>
      </c>
      <c r="K114" s="15" t="s">
        <v>607</v>
      </c>
      <c r="L114" s="28" t="s">
        <v>217</v>
      </c>
      <c r="M114" s="15"/>
    </row>
    <row r="115" customFormat="false" ht="35.05" hidden="false" customHeight="false" outlineLevel="0" collapsed="false">
      <c r="A115" s="15" t="n">
        <v>114</v>
      </c>
      <c r="B115" s="25" t="n">
        <v>46354</v>
      </c>
      <c r="C115" s="15" t="s">
        <v>268</v>
      </c>
      <c r="D115" s="15" t="s">
        <v>76</v>
      </c>
      <c r="E115" s="15" t="s">
        <v>52</v>
      </c>
      <c r="F115" s="15" t="s">
        <v>273</v>
      </c>
      <c r="G115" s="26" t="s">
        <v>608</v>
      </c>
      <c r="H115" s="15" t="s">
        <v>609</v>
      </c>
      <c r="I115" s="27" t="s">
        <v>603</v>
      </c>
      <c r="J115" s="15" t="n">
        <v>3</v>
      </c>
      <c r="K115" s="15" t="s">
        <v>610</v>
      </c>
      <c r="L115" s="28" t="s">
        <v>217</v>
      </c>
      <c r="M115" s="15"/>
    </row>
    <row r="116" customFormat="false" ht="23.85" hidden="false" customHeight="false" outlineLevel="0" collapsed="false">
      <c r="A116" s="15" t="n">
        <v>115</v>
      </c>
      <c r="B116" s="25" t="n">
        <v>46354</v>
      </c>
      <c r="C116" s="15" t="s">
        <v>268</v>
      </c>
      <c r="D116" s="15" t="s">
        <v>76</v>
      </c>
      <c r="E116" s="15" t="s">
        <v>50</v>
      </c>
      <c r="F116" s="15" t="s">
        <v>218</v>
      </c>
      <c r="G116" s="26" t="s">
        <v>611</v>
      </c>
      <c r="H116" s="15" t="s">
        <v>612</v>
      </c>
      <c r="I116" s="27" t="s">
        <v>613</v>
      </c>
      <c r="J116" s="15" t="n">
        <v>1</v>
      </c>
      <c r="K116" s="15" t="s">
        <v>614</v>
      </c>
      <c r="L116" s="28" t="s">
        <v>217</v>
      </c>
      <c r="M116" s="15"/>
    </row>
    <row r="117" customFormat="false" ht="23.85" hidden="false" customHeight="false" outlineLevel="0" collapsed="false">
      <c r="A117" s="29" t="n">
        <v>116</v>
      </c>
      <c r="B117" s="30" t="n">
        <v>46356</v>
      </c>
      <c r="C117" s="29" t="s">
        <v>211</v>
      </c>
      <c r="D117" s="29" t="s">
        <v>78</v>
      </c>
      <c r="E117" s="29" t="s">
        <v>40</v>
      </c>
      <c r="F117" s="29" t="s">
        <v>223</v>
      </c>
      <c r="G117" s="31" t="s">
        <v>615</v>
      </c>
      <c r="H117" s="29" t="s">
        <v>616</v>
      </c>
      <c r="I117" s="32" t="s">
        <v>617</v>
      </c>
      <c r="J117" s="29" t="n">
        <v>1</v>
      </c>
      <c r="K117" s="29" t="s">
        <v>618</v>
      </c>
      <c r="L117" s="33" t="s">
        <v>217</v>
      </c>
      <c r="M117" s="29"/>
    </row>
    <row r="118" customFormat="false" ht="23.85" hidden="false" customHeight="false" outlineLevel="0" collapsed="false">
      <c r="A118" s="29" t="n">
        <v>117</v>
      </c>
      <c r="B118" s="30" t="n">
        <v>46356</v>
      </c>
      <c r="C118" s="29" t="s">
        <v>211</v>
      </c>
      <c r="D118" s="29" t="s">
        <v>78</v>
      </c>
      <c r="E118" s="29" t="s">
        <v>40</v>
      </c>
      <c r="F118" s="29" t="s">
        <v>20</v>
      </c>
      <c r="G118" s="31" t="s">
        <v>619</v>
      </c>
      <c r="H118" s="29" t="s">
        <v>620</v>
      </c>
      <c r="I118" s="32" t="s">
        <v>621</v>
      </c>
      <c r="J118" s="29" t="n">
        <v>2.5</v>
      </c>
      <c r="K118" s="29" t="s">
        <v>622</v>
      </c>
      <c r="L118" s="33" t="s">
        <v>217</v>
      </c>
      <c r="M118" s="29"/>
    </row>
    <row r="119" customFormat="false" ht="23.85" hidden="false" customHeight="false" outlineLevel="0" collapsed="false">
      <c r="A119" s="29" t="n">
        <v>118</v>
      </c>
      <c r="B119" s="30" t="n">
        <v>46357</v>
      </c>
      <c r="C119" s="29" t="s">
        <v>228</v>
      </c>
      <c r="D119" s="29" t="s">
        <v>78</v>
      </c>
      <c r="E119" s="29" t="s">
        <v>40</v>
      </c>
      <c r="F119" s="29" t="s">
        <v>223</v>
      </c>
      <c r="G119" s="31" t="s">
        <v>623</v>
      </c>
      <c r="H119" s="29" t="s">
        <v>624</v>
      </c>
      <c r="I119" s="32" t="s">
        <v>625</v>
      </c>
      <c r="J119" s="29" t="n">
        <v>1.5</v>
      </c>
      <c r="K119" s="29"/>
      <c r="L119" s="33" t="s">
        <v>217</v>
      </c>
      <c r="M119" s="29"/>
    </row>
    <row r="120" customFormat="false" ht="23.85" hidden="false" customHeight="false" outlineLevel="0" collapsed="false">
      <c r="A120" s="29" t="n">
        <v>119</v>
      </c>
      <c r="B120" s="30" t="n">
        <v>46357</v>
      </c>
      <c r="C120" s="29" t="s">
        <v>228</v>
      </c>
      <c r="D120" s="29" t="s">
        <v>78</v>
      </c>
      <c r="E120" s="29" t="s">
        <v>40</v>
      </c>
      <c r="F120" s="29" t="s">
        <v>20</v>
      </c>
      <c r="G120" s="31" t="s">
        <v>626</v>
      </c>
      <c r="H120" s="29" t="s">
        <v>627</v>
      </c>
      <c r="I120" s="32" t="s">
        <v>628</v>
      </c>
      <c r="J120" s="29" t="n">
        <v>2</v>
      </c>
      <c r="K120" s="29" t="s">
        <v>629</v>
      </c>
      <c r="L120" s="33" t="s">
        <v>217</v>
      </c>
      <c r="M120" s="29"/>
    </row>
    <row r="121" customFormat="false" ht="23.85" hidden="false" customHeight="false" outlineLevel="0" collapsed="false">
      <c r="A121" s="29" t="n">
        <v>120</v>
      </c>
      <c r="B121" s="30" t="n">
        <v>46358</v>
      </c>
      <c r="C121" s="29" t="s">
        <v>238</v>
      </c>
      <c r="D121" s="29" t="s">
        <v>78</v>
      </c>
      <c r="E121" s="29" t="s">
        <v>40</v>
      </c>
      <c r="F121" s="29" t="s">
        <v>223</v>
      </c>
      <c r="G121" s="31" t="s">
        <v>630</v>
      </c>
      <c r="H121" s="29" t="s">
        <v>631</v>
      </c>
      <c r="I121" s="32" t="s">
        <v>632</v>
      </c>
      <c r="J121" s="29" t="n">
        <v>1.5</v>
      </c>
      <c r="K121" s="29"/>
      <c r="L121" s="33" t="s">
        <v>217</v>
      </c>
      <c r="M121" s="29"/>
    </row>
    <row r="122" customFormat="false" ht="23.85" hidden="false" customHeight="false" outlineLevel="0" collapsed="false">
      <c r="A122" s="29" t="n">
        <v>121</v>
      </c>
      <c r="B122" s="30" t="n">
        <v>46358</v>
      </c>
      <c r="C122" s="29" t="s">
        <v>238</v>
      </c>
      <c r="D122" s="29" t="s">
        <v>78</v>
      </c>
      <c r="E122" s="29" t="s">
        <v>40</v>
      </c>
      <c r="F122" s="29" t="s">
        <v>20</v>
      </c>
      <c r="G122" s="31" t="s">
        <v>633</v>
      </c>
      <c r="H122" s="29" t="s">
        <v>634</v>
      </c>
      <c r="I122" s="32" t="s">
        <v>635</v>
      </c>
      <c r="J122" s="29" t="n">
        <v>2</v>
      </c>
      <c r="K122" s="29" t="s">
        <v>636</v>
      </c>
      <c r="L122" s="33" t="s">
        <v>217</v>
      </c>
      <c r="M122" s="29"/>
    </row>
    <row r="123" customFormat="false" ht="23.85" hidden="false" customHeight="false" outlineLevel="0" collapsed="false">
      <c r="A123" s="29" t="n">
        <v>122</v>
      </c>
      <c r="B123" s="30" t="n">
        <v>46359</v>
      </c>
      <c r="C123" s="29" t="s">
        <v>248</v>
      </c>
      <c r="D123" s="29" t="s">
        <v>78</v>
      </c>
      <c r="E123" s="29" t="s">
        <v>42</v>
      </c>
      <c r="F123" s="29" t="s">
        <v>223</v>
      </c>
      <c r="G123" s="31" t="s">
        <v>637</v>
      </c>
      <c r="H123" s="29" t="s">
        <v>638</v>
      </c>
      <c r="I123" s="32" t="s">
        <v>639</v>
      </c>
      <c r="J123" s="29" t="n">
        <v>1.5</v>
      </c>
      <c r="K123" s="29"/>
      <c r="L123" s="33" t="s">
        <v>217</v>
      </c>
      <c r="M123" s="29"/>
    </row>
    <row r="124" customFormat="false" ht="23.85" hidden="false" customHeight="false" outlineLevel="0" collapsed="false">
      <c r="A124" s="29" t="n">
        <v>123</v>
      </c>
      <c r="B124" s="30" t="n">
        <v>46359</v>
      </c>
      <c r="C124" s="29" t="s">
        <v>248</v>
      </c>
      <c r="D124" s="29" t="s">
        <v>78</v>
      </c>
      <c r="E124" s="29" t="s">
        <v>42</v>
      </c>
      <c r="F124" s="29" t="s">
        <v>20</v>
      </c>
      <c r="G124" s="31" t="s">
        <v>640</v>
      </c>
      <c r="H124" s="29" t="s">
        <v>641</v>
      </c>
      <c r="I124" s="32" t="s">
        <v>642</v>
      </c>
      <c r="J124" s="29" t="n">
        <v>2</v>
      </c>
      <c r="K124" s="29" t="s">
        <v>643</v>
      </c>
      <c r="L124" s="33" t="s">
        <v>217</v>
      </c>
      <c r="M124" s="29"/>
    </row>
    <row r="125" customFormat="false" ht="35.05" hidden="false" customHeight="false" outlineLevel="0" collapsed="false">
      <c r="A125" s="29" t="n">
        <v>124</v>
      </c>
      <c r="B125" s="30" t="n">
        <v>46360</v>
      </c>
      <c r="C125" s="29" t="s">
        <v>261</v>
      </c>
      <c r="D125" s="29" t="s">
        <v>78</v>
      </c>
      <c r="E125" s="29" t="s">
        <v>40</v>
      </c>
      <c r="F125" s="29" t="s">
        <v>20</v>
      </c>
      <c r="G125" s="31" t="s">
        <v>644</v>
      </c>
      <c r="H125" s="29" t="s">
        <v>645</v>
      </c>
      <c r="I125" s="32" t="s">
        <v>646</v>
      </c>
      <c r="J125" s="29" t="n">
        <v>1</v>
      </c>
      <c r="K125" s="29" t="s">
        <v>647</v>
      </c>
      <c r="L125" s="33" t="s">
        <v>217</v>
      </c>
      <c r="M125" s="29"/>
    </row>
    <row r="126" customFormat="false" ht="23.85" hidden="false" customHeight="false" outlineLevel="0" collapsed="false">
      <c r="A126" s="29" t="n">
        <v>125</v>
      </c>
      <c r="B126" s="30" t="n">
        <v>46360</v>
      </c>
      <c r="C126" s="29" t="s">
        <v>261</v>
      </c>
      <c r="D126" s="29" t="s">
        <v>78</v>
      </c>
      <c r="E126" s="29" t="s">
        <v>40</v>
      </c>
      <c r="F126" s="29" t="s">
        <v>20</v>
      </c>
      <c r="G126" s="31" t="s">
        <v>648</v>
      </c>
      <c r="H126" s="29" t="s">
        <v>649</v>
      </c>
      <c r="I126" s="32" t="s">
        <v>650</v>
      </c>
      <c r="J126" s="29" t="n">
        <v>1.5</v>
      </c>
      <c r="K126" s="29" t="s">
        <v>651</v>
      </c>
      <c r="L126" s="33" t="s">
        <v>217</v>
      </c>
      <c r="M126" s="29"/>
    </row>
    <row r="127" customFormat="false" ht="23.85" hidden="false" customHeight="false" outlineLevel="0" collapsed="false">
      <c r="A127" s="29" t="n">
        <v>126</v>
      </c>
      <c r="B127" s="30" t="n">
        <v>46360</v>
      </c>
      <c r="C127" s="29" t="s">
        <v>261</v>
      </c>
      <c r="D127" s="29" t="s">
        <v>78</v>
      </c>
      <c r="E127" s="29" t="s">
        <v>40</v>
      </c>
      <c r="F127" s="29" t="s">
        <v>223</v>
      </c>
      <c r="G127" s="31" t="s">
        <v>652</v>
      </c>
      <c r="H127" s="29" t="s">
        <v>653</v>
      </c>
      <c r="I127" s="32" t="s">
        <v>654</v>
      </c>
      <c r="J127" s="29" t="n">
        <v>1</v>
      </c>
      <c r="K127" s="29" t="s">
        <v>655</v>
      </c>
      <c r="L127" s="33" t="s">
        <v>217</v>
      </c>
      <c r="M127" s="29"/>
    </row>
    <row r="128" customFormat="false" ht="35.05" hidden="false" customHeight="false" outlineLevel="0" collapsed="false">
      <c r="A128" s="29" t="n">
        <v>127</v>
      </c>
      <c r="B128" s="30" t="n">
        <v>46361</v>
      </c>
      <c r="C128" s="29" t="s">
        <v>268</v>
      </c>
      <c r="D128" s="29" t="s">
        <v>78</v>
      </c>
      <c r="E128" s="29" t="s">
        <v>40</v>
      </c>
      <c r="F128" s="29" t="s">
        <v>312</v>
      </c>
      <c r="G128" s="31" t="s">
        <v>656</v>
      </c>
      <c r="H128" s="29" t="s">
        <v>657</v>
      </c>
      <c r="I128" s="32" t="s">
        <v>658</v>
      </c>
      <c r="J128" s="29" t="n">
        <v>3</v>
      </c>
      <c r="K128" s="29" t="s">
        <v>659</v>
      </c>
      <c r="L128" s="33" t="s">
        <v>217</v>
      </c>
      <c r="M128" s="29"/>
    </row>
    <row r="129" customFormat="false" ht="23.85" hidden="false" customHeight="false" outlineLevel="0" collapsed="false">
      <c r="A129" s="29" t="n">
        <v>128</v>
      </c>
      <c r="B129" s="30" t="n">
        <v>46361</v>
      </c>
      <c r="C129" s="29" t="s">
        <v>268</v>
      </c>
      <c r="D129" s="29" t="s">
        <v>78</v>
      </c>
      <c r="E129" s="29" t="s">
        <v>40</v>
      </c>
      <c r="F129" s="29" t="s">
        <v>218</v>
      </c>
      <c r="G129" s="31" t="s">
        <v>660</v>
      </c>
      <c r="H129" s="29" t="s">
        <v>661</v>
      </c>
      <c r="I129" s="32" t="s">
        <v>520</v>
      </c>
      <c r="J129" s="29" t="n">
        <v>1</v>
      </c>
      <c r="K129" s="29" t="s">
        <v>662</v>
      </c>
      <c r="L129" s="33" t="s">
        <v>217</v>
      </c>
      <c r="M129" s="29"/>
    </row>
    <row r="130" customFormat="false" ht="23.85" hidden="false" customHeight="false" outlineLevel="0" collapsed="false">
      <c r="A130" s="15" t="n">
        <v>129</v>
      </c>
      <c r="B130" s="25" t="n">
        <v>46363</v>
      </c>
      <c r="C130" s="15" t="s">
        <v>211</v>
      </c>
      <c r="D130" s="15" t="s">
        <v>80</v>
      </c>
      <c r="E130" s="15" t="s">
        <v>44</v>
      </c>
      <c r="F130" s="15" t="s">
        <v>223</v>
      </c>
      <c r="G130" s="26" t="s">
        <v>663</v>
      </c>
      <c r="H130" s="15" t="s">
        <v>664</v>
      </c>
      <c r="I130" s="27" t="s">
        <v>665</v>
      </c>
      <c r="J130" s="15" t="n">
        <v>1.5</v>
      </c>
      <c r="K130" s="15"/>
      <c r="L130" s="28" t="s">
        <v>217</v>
      </c>
      <c r="M130" s="15"/>
    </row>
    <row r="131" customFormat="false" ht="23.85" hidden="false" customHeight="false" outlineLevel="0" collapsed="false">
      <c r="A131" s="15" t="n">
        <v>130</v>
      </c>
      <c r="B131" s="25" t="n">
        <v>46363</v>
      </c>
      <c r="C131" s="15" t="s">
        <v>211</v>
      </c>
      <c r="D131" s="15" t="s">
        <v>80</v>
      </c>
      <c r="E131" s="15" t="s">
        <v>44</v>
      </c>
      <c r="F131" s="15" t="s">
        <v>223</v>
      </c>
      <c r="G131" s="26" t="s">
        <v>666</v>
      </c>
      <c r="H131" s="15" t="s">
        <v>667</v>
      </c>
      <c r="I131" s="27" t="s">
        <v>668</v>
      </c>
      <c r="J131" s="15" t="n">
        <v>1</v>
      </c>
      <c r="K131" s="15"/>
      <c r="L131" s="28" t="s">
        <v>217</v>
      </c>
      <c r="M131" s="15"/>
    </row>
    <row r="132" customFormat="false" ht="23.85" hidden="false" customHeight="false" outlineLevel="0" collapsed="false">
      <c r="A132" s="15" t="n">
        <v>131</v>
      </c>
      <c r="B132" s="25" t="n">
        <v>46363</v>
      </c>
      <c r="C132" s="15" t="s">
        <v>211</v>
      </c>
      <c r="D132" s="15" t="s">
        <v>80</v>
      </c>
      <c r="E132" s="15" t="s">
        <v>44</v>
      </c>
      <c r="F132" s="15" t="s">
        <v>218</v>
      </c>
      <c r="G132" s="26" t="s">
        <v>669</v>
      </c>
      <c r="H132" s="15" t="s">
        <v>670</v>
      </c>
      <c r="I132" s="27" t="s">
        <v>671</v>
      </c>
      <c r="J132" s="15" t="n">
        <v>1</v>
      </c>
      <c r="K132" s="15" t="s">
        <v>672</v>
      </c>
      <c r="L132" s="28" t="s">
        <v>217</v>
      </c>
      <c r="M132" s="15"/>
    </row>
    <row r="133" customFormat="false" ht="23.85" hidden="false" customHeight="false" outlineLevel="0" collapsed="false">
      <c r="A133" s="15" t="n">
        <v>132</v>
      </c>
      <c r="B133" s="25" t="n">
        <v>46364</v>
      </c>
      <c r="C133" s="15" t="s">
        <v>228</v>
      </c>
      <c r="D133" s="15" t="s">
        <v>80</v>
      </c>
      <c r="E133" s="15" t="s">
        <v>44</v>
      </c>
      <c r="F133" s="15" t="s">
        <v>229</v>
      </c>
      <c r="G133" s="26" t="s">
        <v>673</v>
      </c>
      <c r="H133" s="15" t="s">
        <v>674</v>
      </c>
      <c r="I133" s="27" t="s">
        <v>675</v>
      </c>
      <c r="J133" s="15" t="n">
        <v>1.5</v>
      </c>
      <c r="K133" s="15"/>
      <c r="L133" s="28" t="s">
        <v>217</v>
      </c>
      <c r="M133" s="15"/>
    </row>
    <row r="134" customFormat="false" ht="23.85" hidden="false" customHeight="false" outlineLevel="0" collapsed="false">
      <c r="A134" s="15" t="n">
        <v>133</v>
      </c>
      <c r="B134" s="25" t="n">
        <v>46364</v>
      </c>
      <c r="C134" s="15" t="s">
        <v>228</v>
      </c>
      <c r="D134" s="15" t="s">
        <v>80</v>
      </c>
      <c r="E134" s="15" t="s">
        <v>44</v>
      </c>
      <c r="F134" s="15" t="s">
        <v>20</v>
      </c>
      <c r="G134" s="26" t="s">
        <v>676</v>
      </c>
      <c r="H134" s="15" t="s">
        <v>677</v>
      </c>
      <c r="I134" s="27" t="s">
        <v>678</v>
      </c>
      <c r="J134" s="15" t="n">
        <v>2</v>
      </c>
      <c r="K134" s="15" t="s">
        <v>679</v>
      </c>
      <c r="L134" s="28" t="s">
        <v>217</v>
      </c>
      <c r="M134" s="15"/>
    </row>
    <row r="135" customFormat="false" ht="23.85" hidden="false" customHeight="false" outlineLevel="0" collapsed="false">
      <c r="A135" s="15" t="n">
        <v>134</v>
      </c>
      <c r="B135" s="25" t="n">
        <v>46365</v>
      </c>
      <c r="C135" s="15" t="s">
        <v>238</v>
      </c>
      <c r="D135" s="15" t="s">
        <v>80</v>
      </c>
      <c r="E135" s="15" t="s">
        <v>52</v>
      </c>
      <c r="F135" s="15" t="s">
        <v>256</v>
      </c>
      <c r="G135" s="26" t="s">
        <v>680</v>
      </c>
      <c r="H135" s="15" t="s">
        <v>681</v>
      </c>
      <c r="I135" s="27" t="s">
        <v>682</v>
      </c>
      <c r="J135" s="15" t="n">
        <v>1.5</v>
      </c>
      <c r="K135" s="15" t="s">
        <v>683</v>
      </c>
      <c r="L135" s="28" t="s">
        <v>217</v>
      </c>
      <c r="M135" s="15"/>
    </row>
    <row r="136" customFormat="false" ht="23.85" hidden="false" customHeight="false" outlineLevel="0" collapsed="false">
      <c r="A136" s="15" t="n">
        <v>135</v>
      </c>
      <c r="B136" s="25" t="n">
        <v>46365</v>
      </c>
      <c r="C136" s="15" t="s">
        <v>238</v>
      </c>
      <c r="D136" s="15" t="s">
        <v>80</v>
      </c>
      <c r="E136" s="15" t="s">
        <v>44</v>
      </c>
      <c r="F136" s="15" t="s">
        <v>20</v>
      </c>
      <c r="G136" s="26" t="s">
        <v>684</v>
      </c>
      <c r="H136" s="15" t="s">
        <v>685</v>
      </c>
      <c r="I136" s="27" t="s">
        <v>686</v>
      </c>
      <c r="J136" s="15" t="n">
        <v>2</v>
      </c>
      <c r="K136" s="15" t="s">
        <v>687</v>
      </c>
      <c r="L136" s="28" t="s">
        <v>217</v>
      </c>
      <c r="M136" s="15"/>
    </row>
    <row r="137" customFormat="false" ht="23.85" hidden="false" customHeight="false" outlineLevel="0" collapsed="false">
      <c r="A137" s="15" t="n">
        <v>136</v>
      </c>
      <c r="B137" s="25" t="n">
        <v>46366</v>
      </c>
      <c r="C137" s="15" t="s">
        <v>248</v>
      </c>
      <c r="D137" s="15" t="s">
        <v>80</v>
      </c>
      <c r="E137" s="15" t="s">
        <v>44</v>
      </c>
      <c r="F137" s="15" t="s">
        <v>223</v>
      </c>
      <c r="G137" s="26" t="s">
        <v>688</v>
      </c>
      <c r="H137" s="15" t="s">
        <v>689</v>
      </c>
      <c r="I137" s="27" t="s">
        <v>690</v>
      </c>
      <c r="J137" s="15" t="n">
        <v>1.5</v>
      </c>
      <c r="K137" s="15"/>
      <c r="L137" s="28" t="s">
        <v>217</v>
      </c>
      <c r="M137" s="15"/>
    </row>
    <row r="138" customFormat="false" ht="23.85" hidden="false" customHeight="false" outlineLevel="0" collapsed="false">
      <c r="A138" s="15" t="n">
        <v>137</v>
      </c>
      <c r="B138" s="25" t="n">
        <v>46366</v>
      </c>
      <c r="C138" s="15" t="s">
        <v>248</v>
      </c>
      <c r="D138" s="15" t="s">
        <v>80</v>
      </c>
      <c r="E138" s="15" t="s">
        <v>44</v>
      </c>
      <c r="F138" s="15" t="s">
        <v>223</v>
      </c>
      <c r="G138" s="26" t="s">
        <v>691</v>
      </c>
      <c r="H138" s="15" t="s">
        <v>692</v>
      </c>
      <c r="I138" s="27" t="s">
        <v>693</v>
      </c>
      <c r="J138" s="15" t="n">
        <v>2</v>
      </c>
      <c r="K138" s="15" t="s">
        <v>694</v>
      </c>
      <c r="L138" s="28" t="s">
        <v>217</v>
      </c>
      <c r="M138" s="15"/>
    </row>
    <row r="139" customFormat="false" ht="17.35" hidden="false" customHeight="false" outlineLevel="0" collapsed="false">
      <c r="A139" s="15" t="n">
        <v>138</v>
      </c>
      <c r="B139" s="25" t="n">
        <v>46367</v>
      </c>
      <c r="C139" s="15" t="s">
        <v>261</v>
      </c>
      <c r="D139" s="15" t="s">
        <v>80</v>
      </c>
      <c r="E139" s="15" t="s">
        <v>44</v>
      </c>
      <c r="F139" s="15" t="s">
        <v>256</v>
      </c>
      <c r="G139" s="26" t="s">
        <v>695</v>
      </c>
      <c r="H139" s="15" t="s">
        <v>696</v>
      </c>
      <c r="I139" s="27" t="s">
        <v>697</v>
      </c>
      <c r="J139" s="15" t="n">
        <v>1</v>
      </c>
      <c r="K139" s="15"/>
      <c r="L139" s="28" t="s">
        <v>217</v>
      </c>
      <c r="M139" s="15"/>
    </row>
    <row r="140" customFormat="false" ht="17.35" hidden="false" customHeight="false" outlineLevel="0" collapsed="false">
      <c r="A140" s="15" t="n">
        <v>139</v>
      </c>
      <c r="B140" s="25" t="n">
        <v>46367</v>
      </c>
      <c r="C140" s="15" t="s">
        <v>261</v>
      </c>
      <c r="D140" s="15" t="s">
        <v>80</v>
      </c>
      <c r="E140" s="15" t="s">
        <v>44</v>
      </c>
      <c r="F140" s="15" t="s">
        <v>20</v>
      </c>
      <c r="G140" s="26" t="s">
        <v>698</v>
      </c>
      <c r="H140" s="15" t="s">
        <v>699</v>
      </c>
      <c r="I140" s="27" t="s">
        <v>700</v>
      </c>
      <c r="J140" s="15" t="n">
        <v>1.5</v>
      </c>
      <c r="K140" s="15" t="s">
        <v>701</v>
      </c>
      <c r="L140" s="28" t="s">
        <v>217</v>
      </c>
      <c r="M140" s="15"/>
    </row>
    <row r="141" customFormat="false" ht="17.35" hidden="false" customHeight="false" outlineLevel="0" collapsed="false">
      <c r="A141" s="15" t="n">
        <v>140</v>
      </c>
      <c r="B141" s="25" t="n">
        <v>46367</v>
      </c>
      <c r="C141" s="15" t="s">
        <v>261</v>
      </c>
      <c r="D141" s="15" t="s">
        <v>80</v>
      </c>
      <c r="E141" s="15" t="s">
        <v>44</v>
      </c>
      <c r="F141" s="15" t="s">
        <v>223</v>
      </c>
      <c r="G141" s="26" t="s">
        <v>702</v>
      </c>
      <c r="H141" s="15" t="s">
        <v>703</v>
      </c>
      <c r="I141" s="27" t="s">
        <v>704</v>
      </c>
      <c r="J141" s="15" t="n">
        <v>1</v>
      </c>
      <c r="K141" s="15"/>
      <c r="L141" s="28" t="s">
        <v>217</v>
      </c>
      <c r="M141" s="15"/>
    </row>
    <row r="142" customFormat="false" ht="23.85" hidden="false" customHeight="false" outlineLevel="0" collapsed="false">
      <c r="A142" s="15" t="n">
        <v>141</v>
      </c>
      <c r="B142" s="25" t="n">
        <v>46368</v>
      </c>
      <c r="C142" s="15" t="s">
        <v>268</v>
      </c>
      <c r="D142" s="15" t="s">
        <v>80</v>
      </c>
      <c r="E142" s="15" t="s">
        <v>44</v>
      </c>
      <c r="F142" s="15" t="s">
        <v>312</v>
      </c>
      <c r="G142" s="26" t="s">
        <v>705</v>
      </c>
      <c r="H142" s="15" t="s">
        <v>706</v>
      </c>
      <c r="I142" s="27" t="s">
        <v>707</v>
      </c>
      <c r="J142" s="15" t="n">
        <v>3</v>
      </c>
      <c r="K142" s="15" t="s">
        <v>708</v>
      </c>
      <c r="L142" s="28" t="s">
        <v>217</v>
      </c>
      <c r="M142" s="15"/>
    </row>
    <row r="143" customFormat="false" ht="23.85" hidden="false" customHeight="false" outlineLevel="0" collapsed="false">
      <c r="A143" s="15" t="n">
        <v>142</v>
      </c>
      <c r="B143" s="25" t="n">
        <v>46368</v>
      </c>
      <c r="C143" s="15" t="s">
        <v>268</v>
      </c>
      <c r="D143" s="15" t="s">
        <v>80</v>
      </c>
      <c r="E143" s="15" t="s">
        <v>52</v>
      </c>
      <c r="F143" s="15" t="s">
        <v>218</v>
      </c>
      <c r="G143" s="26" t="s">
        <v>709</v>
      </c>
      <c r="H143" s="15" t="s">
        <v>710</v>
      </c>
      <c r="I143" s="27" t="s">
        <v>711</v>
      </c>
      <c r="J143" s="15" t="n">
        <v>1</v>
      </c>
      <c r="K143" s="15" t="s">
        <v>712</v>
      </c>
      <c r="L143" s="28" t="s">
        <v>217</v>
      </c>
      <c r="M143" s="15"/>
    </row>
    <row r="144" customFormat="false" ht="23.85" hidden="false" customHeight="false" outlineLevel="0" collapsed="false">
      <c r="A144" s="29" t="n">
        <v>143</v>
      </c>
      <c r="B144" s="30" t="n">
        <v>46370</v>
      </c>
      <c r="C144" s="29" t="s">
        <v>211</v>
      </c>
      <c r="D144" s="29" t="s">
        <v>82</v>
      </c>
      <c r="E144" s="29" t="s">
        <v>48</v>
      </c>
      <c r="F144" s="29" t="s">
        <v>223</v>
      </c>
      <c r="G144" s="31" t="s">
        <v>713</v>
      </c>
      <c r="H144" s="29" t="s">
        <v>714</v>
      </c>
      <c r="I144" s="32" t="s">
        <v>715</v>
      </c>
      <c r="J144" s="29" t="n">
        <v>2</v>
      </c>
      <c r="K144" s="29" t="s">
        <v>716</v>
      </c>
      <c r="L144" s="33" t="s">
        <v>217</v>
      </c>
      <c r="M144" s="29"/>
    </row>
    <row r="145" customFormat="false" ht="23.85" hidden="false" customHeight="false" outlineLevel="0" collapsed="false">
      <c r="A145" s="29" t="n">
        <v>144</v>
      </c>
      <c r="B145" s="30" t="n">
        <v>46370</v>
      </c>
      <c r="C145" s="29" t="s">
        <v>211</v>
      </c>
      <c r="D145" s="29" t="s">
        <v>82</v>
      </c>
      <c r="E145" s="29" t="s">
        <v>48</v>
      </c>
      <c r="F145" s="29" t="s">
        <v>20</v>
      </c>
      <c r="G145" s="31" t="s">
        <v>717</v>
      </c>
      <c r="H145" s="29" t="s">
        <v>718</v>
      </c>
      <c r="I145" s="32" t="s">
        <v>719</v>
      </c>
      <c r="J145" s="29" t="n">
        <v>1.5</v>
      </c>
      <c r="K145" s="29" t="s">
        <v>720</v>
      </c>
      <c r="L145" s="33" t="s">
        <v>217</v>
      </c>
      <c r="M145" s="29"/>
    </row>
    <row r="146" customFormat="false" ht="23.85" hidden="false" customHeight="false" outlineLevel="0" collapsed="false">
      <c r="A146" s="29" t="n">
        <v>145</v>
      </c>
      <c r="B146" s="30" t="n">
        <v>46371</v>
      </c>
      <c r="C146" s="29" t="s">
        <v>228</v>
      </c>
      <c r="D146" s="29" t="s">
        <v>82</v>
      </c>
      <c r="E146" s="29" t="s">
        <v>48</v>
      </c>
      <c r="F146" s="29" t="s">
        <v>223</v>
      </c>
      <c r="G146" s="31" t="s">
        <v>721</v>
      </c>
      <c r="H146" s="29" t="s">
        <v>722</v>
      </c>
      <c r="I146" s="32" t="s">
        <v>723</v>
      </c>
      <c r="J146" s="29" t="n">
        <v>2</v>
      </c>
      <c r="K146" s="29"/>
      <c r="L146" s="33" t="s">
        <v>217</v>
      </c>
      <c r="M146" s="29"/>
    </row>
    <row r="147" customFormat="false" ht="23.85" hidden="false" customHeight="false" outlineLevel="0" collapsed="false">
      <c r="A147" s="29" t="n">
        <v>146</v>
      </c>
      <c r="B147" s="30" t="n">
        <v>46371</v>
      </c>
      <c r="C147" s="29" t="s">
        <v>228</v>
      </c>
      <c r="D147" s="29" t="s">
        <v>82</v>
      </c>
      <c r="E147" s="29" t="s">
        <v>48</v>
      </c>
      <c r="F147" s="29" t="s">
        <v>223</v>
      </c>
      <c r="G147" s="31" t="s">
        <v>724</v>
      </c>
      <c r="H147" s="29" t="s">
        <v>725</v>
      </c>
      <c r="I147" s="32" t="s">
        <v>726</v>
      </c>
      <c r="J147" s="29" t="n">
        <v>1.5</v>
      </c>
      <c r="K147" s="29" t="s">
        <v>727</v>
      </c>
      <c r="L147" s="33" t="s">
        <v>217</v>
      </c>
      <c r="M147" s="29"/>
    </row>
    <row r="148" customFormat="false" ht="23.85" hidden="false" customHeight="false" outlineLevel="0" collapsed="false">
      <c r="A148" s="29" t="n">
        <v>147</v>
      </c>
      <c r="B148" s="30" t="n">
        <v>46372</v>
      </c>
      <c r="C148" s="29" t="s">
        <v>238</v>
      </c>
      <c r="D148" s="29" t="s">
        <v>82</v>
      </c>
      <c r="E148" s="29" t="s">
        <v>46</v>
      </c>
      <c r="F148" s="29" t="s">
        <v>256</v>
      </c>
      <c r="G148" s="31" t="s">
        <v>728</v>
      </c>
      <c r="H148" s="29" t="s">
        <v>729</v>
      </c>
      <c r="I148" s="32" t="s">
        <v>730</v>
      </c>
      <c r="J148" s="29" t="n">
        <v>1.5</v>
      </c>
      <c r="K148" s="29" t="s">
        <v>731</v>
      </c>
      <c r="L148" s="33" t="s">
        <v>217</v>
      </c>
      <c r="M148" s="29"/>
    </row>
    <row r="149" customFormat="false" ht="23.85" hidden="false" customHeight="false" outlineLevel="0" collapsed="false">
      <c r="A149" s="29" t="n">
        <v>148</v>
      </c>
      <c r="B149" s="30" t="n">
        <v>46372</v>
      </c>
      <c r="C149" s="29" t="s">
        <v>238</v>
      </c>
      <c r="D149" s="29" t="s">
        <v>82</v>
      </c>
      <c r="E149" s="29" t="s">
        <v>46</v>
      </c>
      <c r="F149" s="29" t="s">
        <v>20</v>
      </c>
      <c r="G149" s="31" t="s">
        <v>732</v>
      </c>
      <c r="H149" s="29" t="s">
        <v>733</v>
      </c>
      <c r="I149" s="32" t="s">
        <v>734</v>
      </c>
      <c r="J149" s="29" t="n">
        <v>2</v>
      </c>
      <c r="K149" s="29" t="s">
        <v>735</v>
      </c>
      <c r="L149" s="33" t="s">
        <v>217</v>
      </c>
      <c r="M149" s="29"/>
    </row>
    <row r="150" customFormat="false" ht="23.85" hidden="false" customHeight="false" outlineLevel="0" collapsed="false">
      <c r="A150" s="29" t="n">
        <v>149</v>
      </c>
      <c r="B150" s="30" t="n">
        <v>46373</v>
      </c>
      <c r="C150" s="29" t="s">
        <v>248</v>
      </c>
      <c r="D150" s="29" t="s">
        <v>82</v>
      </c>
      <c r="E150" s="29" t="s">
        <v>46</v>
      </c>
      <c r="F150" s="29" t="s">
        <v>223</v>
      </c>
      <c r="G150" s="31" t="s">
        <v>736</v>
      </c>
      <c r="H150" s="29" t="s">
        <v>737</v>
      </c>
      <c r="I150" s="32" t="s">
        <v>738</v>
      </c>
      <c r="J150" s="29" t="n">
        <v>1.5</v>
      </c>
      <c r="K150" s="29"/>
      <c r="L150" s="33" t="s">
        <v>217</v>
      </c>
      <c r="M150" s="29"/>
    </row>
    <row r="151" customFormat="false" ht="23.85" hidden="false" customHeight="false" outlineLevel="0" collapsed="false">
      <c r="A151" s="29" t="n">
        <v>150</v>
      </c>
      <c r="B151" s="30" t="n">
        <v>46373</v>
      </c>
      <c r="C151" s="29" t="s">
        <v>248</v>
      </c>
      <c r="D151" s="29" t="s">
        <v>82</v>
      </c>
      <c r="E151" s="29" t="s">
        <v>46</v>
      </c>
      <c r="F151" s="29" t="s">
        <v>20</v>
      </c>
      <c r="G151" s="31" t="s">
        <v>739</v>
      </c>
      <c r="H151" s="29" t="s">
        <v>740</v>
      </c>
      <c r="I151" s="32" t="s">
        <v>741</v>
      </c>
      <c r="J151" s="29" t="n">
        <v>2</v>
      </c>
      <c r="K151" s="29" t="s">
        <v>742</v>
      </c>
      <c r="L151" s="33" t="s">
        <v>217</v>
      </c>
      <c r="M151" s="29"/>
    </row>
    <row r="152" customFormat="false" ht="23.85" hidden="false" customHeight="false" outlineLevel="0" collapsed="false">
      <c r="A152" s="29" t="n">
        <v>151</v>
      </c>
      <c r="B152" s="30" t="n">
        <v>46374</v>
      </c>
      <c r="C152" s="29" t="s">
        <v>261</v>
      </c>
      <c r="D152" s="29" t="s">
        <v>82</v>
      </c>
      <c r="E152" s="29" t="s">
        <v>46</v>
      </c>
      <c r="F152" s="29" t="s">
        <v>256</v>
      </c>
      <c r="G152" s="31" t="s">
        <v>743</v>
      </c>
      <c r="H152" s="29" t="s">
        <v>744</v>
      </c>
      <c r="I152" s="32" t="s">
        <v>745</v>
      </c>
      <c r="J152" s="29" t="n">
        <v>1.5</v>
      </c>
      <c r="K152" s="29"/>
      <c r="L152" s="33" t="s">
        <v>217</v>
      </c>
      <c r="M152" s="29"/>
    </row>
    <row r="153" customFormat="false" ht="23.85" hidden="false" customHeight="false" outlineLevel="0" collapsed="false">
      <c r="A153" s="29" t="n">
        <v>152</v>
      </c>
      <c r="B153" s="30" t="n">
        <v>46374</v>
      </c>
      <c r="C153" s="29" t="s">
        <v>261</v>
      </c>
      <c r="D153" s="29" t="s">
        <v>82</v>
      </c>
      <c r="E153" s="29" t="s">
        <v>46</v>
      </c>
      <c r="F153" s="29" t="s">
        <v>20</v>
      </c>
      <c r="G153" s="31" t="s">
        <v>746</v>
      </c>
      <c r="H153" s="29" t="s">
        <v>747</v>
      </c>
      <c r="I153" s="32" t="s">
        <v>748</v>
      </c>
      <c r="J153" s="29" t="n">
        <v>2</v>
      </c>
      <c r="K153" s="29" t="s">
        <v>749</v>
      </c>
      <c r="L153" s="33" t="s">
        <v>217</v>
      </c>
      <c r="M153" s="29"/>
    </row>
    <row r="154" customFormat="false" ht="23.85" hidden="false" customHeight="false" outlineLevel="0" collapsed="false">
      <c r="A154" s="29" t="n">
        <v>153</v>
      </c>
      <c r="B154" s="30" t="n">
        <v>46375</v>
      </c>
      <c r="C154" s="29" t="s">
        <v>268</v>
      </c>
      <c r="D154" s="29" t="s">
        <v>82</v>
      </c>
      <c r="E154" s="29" t="s">
        <v>46</v>
      </c>
      <c r="F154" s="29" t="s">
        <v>312</v>
      </c>
      <c r="G154" s="31" t="s">
        <v>750</v>
      </c>
      <c r="H154" s="29" t="s">
        <v>751</v>
      </c>
      <c r="I154" s="32" t="s">
        <v>748</v>
      </c>
      <c r="J154" s="29" t="n">
        <v>3</v>
      </c>
      <c r="K154" s="29" t="s">
        <v>752</v>
      </c>
      <c r="L154" s="33" t="s">
        <v>217</v>
      </c>
      <c r="M154" s="29"/>
    </row>
    <row r="155" customFormat="false" ht="23.85" hidden="false" customHeight="false" outlineLevel="0" collapsed="false">
      <c r="A155" s="29" t="n">
        <v>154</v>
      </c>
      <c r="B155" s="30" t="n">
        <v>46375</v>
      </c>
      <c r="C155" s="29" t="s">
        <v>268</v>
      </c>
      <c r="D155" s="29" t="s">
        <v>82</v>
      </c>
      <c r="E155" s="29" t="s">
        <v>46</v>
      </c>
      <c r="F155" s="29" t="s">
        <v>218</v>
      </c>
      <c r="G155" s="31" t="s">
        <v>753</v>
      </c>
      <c r="H155" s="29" t="s">
        <v>754</v>
      </c>
      <c r="I155" s="32" t="s">
        <v>486</v>
      </c>
      <c r="J155" s="29" t="n">
        <v>1</v>
      </c>
      <c r="K155" s="29" t="s">
        <v>755</v>
      </c>
      <c r="L155" s="33" t="s">
        <v>217</v>
      </c>
      <c r="M155" s="29"/>
    </row>
    <row r="156" customFormat="false" ht="23.85" hidden="false" customHeight="false" outlineLevel="0" collapsed="false">
      <c r="A156" s="15" t="n">
        <v>155</v>
      </c>
      <c r="B156" s="25" t="n">
        <v>46377</v>
      </c>
      <c r="C156" s="15" t="s">
        <v>211</v>
      </c>
      <c r="D156" s="15" t="s">
        <v>84</v>
      </c>
      <c r="E156" s="15" t="s">
        <v>54</v>
      </c>
      <c r="F156" s="15" t="s">
        <v>218</v>
      </c>
      <c r="G156" s="26" t="s">
        <v>756</v>
      </c>
      <c r="H156" s="15" t="s">
        <v>757</v>
      </c>
      <c r="I156" s="27" t="s">
        <v>758</v>
      </c>
      <c r="J156" s="15" t="n">
        <v>1</v>
      </c>
      <c r="K156" s="15" t="s">
        <v>759</v>
      </c>
      <c r="L156" s="28" t="s">
        <v>217</v>
      </c>
      <c r="M156" s="15"/>
    </row>
    <row r="157" customFormat="false" ht="23.85" hidden="false" customHeight="false" outlineLevel="0" collapsed="false">
      <c r="A157" s="15" t="n">
        <v>156</v>
      </c>
      <c r="B157" s="25" t="n">
        <v>46377</v>
      </c>
      <c r="C157" s="15" t="s">
        <v>211</v>
      </c>
      <c r="D157" s="15" t="s">
        <v>84</v>
      </c>
      <c r="E157" s="15" t="s">
        <v>54</v>
      </c>
      <c r="F157" s="15" t="s">
        <v>312</v>
      </c>
      <c r="G157" s="26" t="s">
        <v>760</v>
      </c>
      <c r="H157" s="15" t="s">
        <v>761</v>
      </c>
      <c r="I157" s="27" t="s">
        <v>762</v>
      </c>
      <c r="J157" s="15" t="n">
        <v>2.5</v>
      </c>
      <c r="K157" s="15" t="s">
        <v>763</v>
      </c>
      <c r="L157" s="28" t="s">
        <v>217</v>
      </c>
      <c r="M157" s="15"/>
    </row>
    <row r="158" customFormat="false" ht="23.85" hidden="false" customHeight="false" outlineLevel="0" collapsed="false">
      <c r="A158" s="15" t="n">
        <v>157</v>
      </c>
      <c r="B158" s="25" t="n">
        <v>46378</v>
      </c>
      <c r="C158" s="15" t="s">
        <v>228</v>
      </c>
      <c r="D158" s="15" t="s">
        <v>84</v>
      </c>
      <c r="E158" s="15" t="s">
        <v>54</v>
      </c>
      <c r="F158" s="15" t="s">
        <v>312</v>
      </c>
      <c r="G158" s="26" t="s">
        <v>764</v>
      </c>
      <c r="H158" s="15" t="s">
        <v>765</v>
      </c>
      <c r="I158" s="27" t="s">
        <v>758</v>
      </c>
      <c r="J158" s="15" t="n">
        <v>3.5</v>
      </c>
      <c r="K158" s="15" t="s">
        <v>766</v>
      </c>
      <c r="L158" s="28" t="s">
        <v>217</v>
      </c>
      <c r="M158" s="15"/>
    </row>
    <row r="159" customFormat="false" ht="23.85" hidden="false" customHeight="false" outlineLevel="0" collapsed="false">
      <c r="A159" s="15" t="n">
        <v>158</v>
      </c>
      <c r="B159" s="25" t="n">
        <v>46379</v>
      </c>
      <c r="C159" s="15" t="s">
        <v>238</v>
      </c>
      <c r="D159" s="15" t="s">
        <v>84</v>
      </c>
      <c r="E159" s="15" t="s">
        <v>54</v>
      </c>
      <c r="F159" s="15" t="s">
        <v>312</v>
      </c>
      <c r="G159" s="26" t="s">
        <v>767</v>
      </c>
      <c r="H159" s="15" t="s">
        <v>768</v>
      </c>
      <c r="I159" s="27" t="s">
        <v>769</v>
      </c>
      <c r="J159" s="15" t="n">
        <v>3.5</v>
      </c>
      <c r="K159" s="15" t="s">
        <v>770</v>
      </c>
      <c r="L159" s="28" t="s">
        <v>217</v>
      </c>
      <c r="M159" s="15"/>
    </row>
    <row r="160" customFormat="false" ht="23.85" hidden="false" customHeight="false" outlineLevel="0" collapsed="false">
      <c r="A160" s="15" t="n">
        <v>159</v>
      </c>
      <c r="B160" s="25" t="n">
        <v>46380</v>
      </c>
      <c r="C160" s="15" t="s">
        <v>248</v>
      </c>
      <c r="D160" s="15" t="s">
        <v>84</v>
      </c>
      <c r="E160" s="15" t="s">
        <v>54</v>
      </c>
      <c r="F160" s="15" t="s">
        <v>312</v>
      </c>
      <c r="G160" s="26" t="s">
        <v>771</v>
      </c>
      <c r="H160" s="15" t="s">
        <v>772</v>
      </c>
      <c r="I160" s="27" t="s">
        <v>773</v>
      </c>
      <c r="J160" s="15" t="n">
        <v>3.5</v>
      </c>
      <c r="K160" s="15" t="s">
        <v>774</v>
      </c>
      <c r="L160" s="28" t="s">
        <v>217</v>
      </c>
      <c r="M160" s="15"/>
    </row>
    <row r="161" customFormat="false" ht="17.35" hidden="false" customHeight="false" outlineLevel="0" collapsed="false">
      <c r="A161" s="15" t="n">
        <v>160</v>
      </c>
      <c r="B161" s="25" t="n">
        <v>46381</v>
      </c>
      <c r="C161" s="15" t="s">
        <v>261</v>
      </c>
      <c r="D161" s="15" t="s">
        <v>84</v>
      </c>
      <c r="E161" s="15" t="s">
        <v>54</v>
      </c>
      <c r="F161" s="15" t="s">
        <v>775</v>
      </c>
      <c r="G161" s="26" t="s">
        <v>776</v>
      </c>
      <c r="H161" s="15" t="s">
        <v>777</v>
      </c>
      <c r="I161" s="15"/>
      <c r="J161" s="15" t="n">
        <v>0</v>
      </c>
      <c r="K161" s="15"/>
      <c r="L161" s="28" t="s">
        <v>217</v>
      </c>
      <c r="M161" s="15"/>
    </row>
    <row r="162" customFormat="false" ht="23.85" hidden="false" customHeight="false" outlineLevel="0" collapsed="false">
      <c r="A162" s="15" t="n">
        <v>161</v>
      </c>
      <c r="B162" s="25" t="n">
        <v>46382</v>
      </c>
      <c r="C162" s="15" t="s">
        <v>268</v>
      </c>
      <c r="D162" s="15" t="s">
        <v>84</v>
      </c>
      <c r="E162" s="15" t="s">
        <v>54</v>
      </c>
      <c r="F162" s="15" t="s">
        <v>312</v>
      </c>
      <c r="G162" s="26" t="s">
        <v>778</v>
      </c>
      <c r="H162" s="15" t="s">
        <v>779</v>
      </c>
      <c r="I162" s="27" t="s">
        <v>780</v>
      </c>
      <c r="J162" s="15" t="n">
        <v>4</v>
      </c>
      <c r="K162" s="15" t="s">
        <v>781</v>
      </c>
      <c r="L162" s="28" t="s">
        <v>217</v>
      </c>
      <c r="M162" s="15"/>
    </row>
    <row r="163" customFormat="false" ht="23.85" hidden="false" customHeight="false" outlineLevel="0" collapsed="false">
      <c r="A163" s="29" t="n">
        <v>162</v>
      </c>
      <c r="B163" s="30" t="n">
        <v>46384</v>
      </c>
      <c r="C163" s="29" t="s">
        <v>211</v>
      </c>
      <c r="D163" s="29" t="s">
        <v>86</v>
      </c>
      <c r="E163" s="29" t="s">
        <v>54</v>
      </c>
      <c r="F163" s="29" t="s">
        <v>312</v>
      </c>
      <c r="G163" s="31" t="s">
        <v>782</v>
      </c>
      <c r="H163" s="29" t="s">
        <v>783</v>
      </c>
      <c r="I163" s="32" t="s">
        <v>520</v>
      </c>
      <c r="J163" s="29" t="n">
        <v>3.5</v>
      </c>
      <c r="K163" s="29" t="s">
        <v>784</v>
      </c>
      <c r="L163" s="33" t="s">
        <v>217</v>
      </c>
      <c r="M163" s="29"/>
    </row>
    <row r="164" customFormat="false" ht="23.85" hidden="false" customHeight="false" outlineLevel="0" collapsed="false">
      <c r="A164" s="29" t="n">
        <v>163</v>
      </c>
      <c r="B164" s="30" t="n">
        <v>46385</v>
      </c>
      <c r="C164" s="29" t="s">
        <v>228</v>
      </c>
      <c r="D164" s="29" t="s">
        <v>86</v>
      </c>
      <c r="E164" s="29" t="s">
        <v>54</v>
      </c>
      <c r="F164" s="29" t="s">
        <v>312</v>
      </c>
      <c r="G164" s="31" t="s">
        <v>785</v>
      </c>
      <c r="H164" s="29" t="s">
        <v>786</v>
      </c>
      <c r="I164" s="32" t="s">
        <v>787</v>
      </c>
      <c r="J164" s="29" t="n">
        <v>3.5</v>
      </c>
      <c r="K164" s="29" t="s">
        <v>788</v>
      </c>
      <c r="L164" s="33" t="s">
        <v>217</v>
      </c>
      <c r="M164" s="29"/>
    </row>
    <row r="165" customFormat="false" ht="23.85" hidden="false" customHeight="false" outlineLevel="0" collapsed="false">
      <c r="A165" s="29" t="n">
        <v>164</v>
      </c>
      <c r="B165" s="30" t="n">
        <v>46386</v>
      </c>
      <c r="C165" s="29" t="s">
        <v>238</v>
      </c>
      <c r="D165" s="29" t="s">
        <v>86</v>
      </c>
      <c r="E165" s="29" t="s">
        <v>54</v>
      </c>
      <c r="F165" s="29" t="s">
        <v>312</v>
      </c>
      <c r="G165" s="31" t="s">
        <v>789</v>
      </c>
      <c r="H165" s="29" t="s">
        <v>790</v>
      </c>
      <c r="I165" s="32" t="s">
        <v>791</v>
      </c>
      <c r="J165" s="29" t="n">
        <v>2</v>
      </c>
      <c r="K165" s="29" t="s">
        <v>792</v>
      </c>
      <c r="L165" s="33" t="s">
        <v>217</v>
      </c>
      <c r="M165" s="29"/>
    </row>
    <row r="166" customFormat="false" ht="23.85" hidden="false" customHeight="false" outlineLevel="0" collapsed="false">
      <c r="A166" s="29" t="n">
        <v>165</v>
      </c>
      <c r="B166" s="30" t="n">
        <v>46386</v>
      </c>
      <c r="C166" s="29" t="s">
        <v>238</v>
      </c>
      <c r="D166" s="29" t="s">
        <v>86</v>
      </c>
      <c r="E166" s="29" t="s">
        <v>52</v>
      </c>
      <c r="F166" s="29" t="s">
        <v>218</v>
      </c>
      <c r="G166" s="31" t="s">
        <v>793</v>
      </c>
      <c r="H166" s="29" t="s">
        <v>794</v>
      </c>
      <c r="I166" s="32" t="s">
        <v>221</v>
      </c>
      <c r="J166" s="29" t="n">
        <v>1.5</v>
      </c>
      <c r="K166" s="29" t="s">
        <v>795</v>
      </c>
      <c r="L166" s="33" t="s">
        <v>217</v>
      </c>
      <c r="M166" s="29"/>
    </row>
    <row r="167" customFormat="false" ht="23.85" hidden="false" customHeight="false" outlineLevel="0" collapsed="false">
      <c r="A167" s="29" t="n">
        <v>166</v>
      </c>
      <c r="B167" s="30" t="n">
        <v>46387</v>
      </c>
      <c r="C167" s="29" t="s">
        <v>248</v>
      </c>
      <c r="D167" s="29" t="s">
        <v>86</v>
      </c>
      <c r="E167" s="29" t="s">
        <v>52</v>
      </c>
      <c r="F167" s="29" t="s">
        <v>218</v>
      </c>
      <c r="G167" s="31" t="s">
        <v>796</v>
      </c>
      <c r="H167" s="29" t="s">
        <v>797</v>
      </c>
      <c r="I167" s="32" t="s">
        <v>798</v>
      </c>
      <c r="J167" s="29" t="n">
        <v>2</v>
      </c>
      <c r="K167" s="29" t="s">
        <v>799</v>
      </c>
      <c r="L167" s="33" t="s">
        <v>217</v>
      </c>
      <c r="M167" s="29"/>
    </row>
    <row r="168" customFormat="false" ht="23.85" hidden="false" customHeight="false" outlineLevel="0" collapsed="false">
      <c r="A168" s="29" t="n">
        <v>167</v>
      </c>
      <c r="B168" s="30" t="n">
        <v>46387</v>
      </c>
      <c r="C168" s="29" t="s">
        <v>248</v>
      </c>
      <c r="D168" s="29" t="s">
        <v>86</v>
      </c>
      <c r="E168" s="29" t="s">
        <v>52</v>
      </c>
      <c r="F168" s="29" t="s">
        <v>218</v>
      </c>
      <c r="G168" s="31" t="s">
        <v>800</v>
      </c>
      <c r="H168" s="29" t="s">
        <v>801</v>
      </c>
      <c r="I168" s="32" t="s">
        <v>791</v>
      </c>
      <c r="J168" s="29" t="n">
        <v>1.5</v>
      </c>
      <c r="K168" s="29" t="s">
        <v>802</v>
      </c>
      <c r="L168" s="33" t="s">
        <v>217</v>
      </c>
      <c r="M168" s="29"/>
    </row>
  </sheetData>
  <autoFilter ref="A1:M168"/>
  <conditionalFormatting sqref="A2:M168">
    <cfRule type="expression" priority="2" aboveAverage="0" equalAverage="0" bottom="0" percent="0" rank="0" text="" dxfId="6">
      <formula>OR($L2="☑",$L2=1)</formula>
    </cfRule>
  </conditionalFormatting>
  <conditionalFormatting sqref="B2:B168">
    <cfRule type="expression" priority="3" aboveAverage="0" equalAverage="0" bottom="0" percent="0" rank="0" text="" dxfId="7">
      <formula>AND($B2&lt;TODAY(),$L2="☐")</formula>
    </cfRule>
  </conditionalFormatting>
  <dataValidations count="1">
    <dataValidation allowBlank="false" error="Pick ☐ or ☑" errorStyle="stop" errorTitle="Done" operator="between" showDropDown="false" showErrorMessage="false" showInputMessage="false" sqref="L2:L168" type="list">
      <formula1>"☐,☑"</formula1>
      <formula2>0</formula2>
    </dataValidation>
  </dataValidations>
  <hyperlinks>
    <hyperlink ref="I2" r:id="rId1" display="https://pytorch.org/get-started/locally/"/>
    <hyperlink ref="I3" r:id="rId2" display="https://github.com/anshu8830/anshu/blob/main/curriculum/08-skill-checkpoints.md"/>
    <hyperlink ref="I4" r:id="rId3" display="https://udlbook.github.io/udlbook/"/>
    <hyperlink ref="I5" r:id="rId4" display="https://www.youtube.com/watch?v=q8SA3rM6ckI"/>
    <hyperlink ref="I6" r:id="rId5" display="https://explained.ai/matrix-calculus/"/>
    <hyperlink ref="I7" r:id="rId6" display="https://cs336.stanford.edu/lectures/?trace=lecture_02"/>
    <hyperlink ref="I8" r:id="rId7" display="https://udlbook.github.io/udlbook/"/>
    <hyperlink ref="I9" r:id="rId8" display="https://udlbook.github.io/udlbook/"/>
    <hyperlink ref="I10" r:id="rId9" display="https://www.youtube.com/watch?v=eMlx5fFNoYc"/>
    <hyperlink ref="I11" r:id="rId10" display="https://jalammar.github.io/illustrated-transformer/"/>
    <hyperlink ref="I12" r:id="rId11" display="https://arxiv.org/abs/1706.03762"/>
    <hyperlink ref="I13" r:id="rId12" display="https://github.com/anshu8830/anshu/blob/main/curriculum/concepts/01-attention-and-transformer.md"/>
    <hyperlink ref="I14" r:id="rId13" display="https://github.com/anshu8830/anshu/blob/main/curriculum/concepts/01-attention-and-transformer.md"/>
    <hyperlink ref="I15" r:id="rId14" display="https://nlp.seas.harvard.edu/annotated-transformer/"/>
    <hyperlink ref="I16" r:id="rId15" display="https://github.com/anshu8830/anshu/blob/main/curriculum/concepts/01-attention-and-transformer.md"/>
    <hyperlink ref="I17" r:id="rId16" display="https://www.youtube.com/watch?v=kCc8FmEb1nY"/>
    <hyperlink ref="I18" r:id="rId17" display="https://nlp.seas.harvard.edu/annotated-transformer/"/>
    <hyperlink ref="I19" r:id="rId18" display="https://www.youtube.com/watch?v=lVynu4bo1rY"/>
    <hyperlink ref="I20" r:id="rId19" display="https://magazine.sebastianraschka.com/p/the-big-llm-architecture-comparison"/>
    <hyperlink ref="I21" r:id="rId20" display="https://arxiv.org/abs/2002.04745"/>
    <hyperlink ref="I22" r:id="rId21" display="https://github.com/anshu8830/anshu/blob/main/curriculum/concepts/01-attention-and-transformer.md"/>
    <hyperlink ref="I23" r:id="rId22" display="https://www.youtube.com/watch?v=Mn_9W1nCFLo"/>
    <hyperlink ref="I24" r:id="rId23" display="https://arxiv.org/abs/2104.09864"/>
    <hyperlink ref="I25" r:id="rId24" display="https://github.com/anshu8830/anshu/blob/main/curriculum/concepts/01-attention-and-transformer.md"/>
    <hyperlink ref="I26" r:id="rId25" display="https://arxiv.org/abs/2305.13245"/>
    <hyperlink ref="I27" r:id="rId26" display="https://github.com/anshu8830/anshu/blob/main/curriculum/concepts/01-attention-and-transformer.md"/>
    <hyperlink ref="I28" r:id="rId27" display="https://nlp.seas.harvard.edu/annotated-transformer/"/>
    <hyperlink ref="I29" r:id="rId28" display="https://arxiv.org/abs/1810.04805"/>
    <hyperlink ref="I30" r:id="rId29" display="https://www.youtube.com/watch?v=zduSFxRajkE"/>
    <hyperlink ref="I31" r:id="rId30" display="https://arxiv.org/abs/1508.07909"/>
    <hyperlink ref="I32" r:id="rId31" display="https://www.youtube.com/watch?v=JuoVZkPBiKk"/>
    <hyperlink ref="I33" r:id="rId32" display="https://github.com/stanford-cs336/assignment1-basics"/>
    <hyperlink ref="I34" r:id="rId33" display="https://github.com/stanford-cs336/assignment1-basics"/>
    <hyperlink ref="I35" r:id="rId34" display="https://arxiv.org/abs/1808.06226"/>
    <hyperlink ref="I36" r:id="rId35" display="https://github.com/anshu8830/anshu/blob/main/curriculum/concepts/02-prompt-to-next-token.md"/>
    <hyperlink ref="I37" r:id="rId36" display="https://github.com/stanford-cs336/assignment1-basics"/>
    <hyperlink ref="I38" r:id="rId37" display="https://github.com/stanford-cs336/assignment1-basics"/>
    <hyperlink ref="I39" r:id="rId38" display="https://arxiv.org/abs/1904.09751"/>
    <hyperlink ref="I40" r:id="rId39" display="https://arxiv.org/abs/2002.04745"/>
    <hyperlink ref="I41" r:id="rId40" display="https://github.com/anshu8830/anshu/blob/main/curriculum/concepts/02-prompt-to-next-token.md"/>
    <hyperlink ref="I42" r:id="rId41" display="https://github.com/anshu8830/anshu/blob/main/curriculum/concepts/02-prompt-to-next-token.md"/>
    <hyperlink ref="I43" r:id="rId42" display="https://arxiv.org/abs/1904.09751"/>
    <hyperlink ref="I44" r:id="rId43" display="https://arxiv.org/abs/1904.09751"/>
    <hyperlink ref="I45" r:id="rId44" display="https://cs336.stanford.edu/lectures/?trace=lecture_10"/>
    <hyperlink ref="I46" r:id="rId45" display="https://kipply.github.io/blog/transformer-inference-arithmetic/"/>
    <hyperlink ref="I47" r:id="rId46" display="https://github.com/anshu8830/anshu/blob/main/curriculum/concepts/02-prompt-to-next-token.md"/>
    <hyperlink ref="I48" r:id="rId47" display="https://arxiv.org/abs/2203.15556"/>
    <hyperlink ref="I49" r:id="rId48" display="https://arxiv.org/abs/2203.15556"/>
    <hyperlink ref="I50" r:id="rId49" display="https://newsletter.maartengrootendorst.com/p/a-visual-guide-to-mixture-of-experts"/>
    <hyperlink ref="I51" r:id="rId50" display="https://arxiv.org/abs/2101.03961"/>
    <hyperlink ref="I52" r:id="rId51" display="https://arxiv.org/abs/2101.03961"/>
    <hyperlink ref="I53" r:id="rId52" display="https://github.com/anshu8830/anshu/blob/main/curriculum/08-skill-checkpoints.md"/>
    <hyperlink ref="I54" r:id="rId53" display="https://github.com/anshu8830/anshu/blob/main/curriculum/concepts/03-retrieval-and-vector-search.md"/>
    <hyperlink ref="I55" r:id="rId54" display="https://sbert.net/"/>
    <hyperlink ref="I56" r:id="rId55" display="https://nlp.stanford.edu/IR-book/html/htmledition/irbook.html"/>
    <hyperlink ref="I57" r:id="rId56" display="https://github.com/xhluca/bm25s"/>
    <hyperlink ref="I58" r:id="rId57" display="https://arxiv.org/abs/2104.08663"/>
    <hyperlink ref="I59" r:id="rId58" display="https://arxiv.org/abs/2104.08663"/>
    <hyperlink ref="I60" r:id="rId59" display="https://www.pinecone.io/learn/series/faiss/product-quantization/"/>
    <hyperlink ref="I61" r:id="rId60" display="https://doi.org/10.1109/TPAMI.2010.57"/>
    <hyperlink ref="I62" r:id="rId61" display="https://www.youtube.com/watch?v=QvKMwLjdK-s"/>
    <hyperlink ref="I63" r:id="rId62" display="https://arxiv.org/abs/1603.09320"/>
    <hyperlink ref="I64" r:id="rId63" display="https://www.pinecone.io/learn/series/faiss/"/>
    <hyperlink ref="I65" r:id="rId64" display="https://github.com/anshu8830/anshu/blob/main/curriculum/concepts/03-retrieval-and-vector-search.md"/>
    <hyperlink ref="I66" r:id="rId65" display="https://www.youtube.com/watch?v=mE7IDf2SmJg"/>
    <hyperlink ref="I67" r:id="rId66" display="https://docling-project.github.io/docling/"/>
    <hyperlink ref="I68" r:id="rId67" display="https://www.youtube.com/watch?v=0nA5QG3087g"/>
    <hyperlink ref="I69" r:id="rId68" display="https://www.anthropic.com/news/contextual-retrieval"/>
    <hyperlink ref="I70" r:id="rId69" display="https://arxiv.org/abs/2212.10496"/>
    <hyperlink ref="I71" r:id="rId70" display="https://arxiv.org/abs/2212.10496"/>
    <hyperlink ref="I72" r:id="rId71" display="https://arxiv.org/abs/2307.03172"/>
    <hyperlink ref="I73" r:id="rId72" display="https://arxiv.org/abs/2004.12832"/>
    <hyperlink ref="I74" r:id="rId73" display="https://arxiv.org/abs/2402.03216"/>
    <hyperlink ref="I75" r:id="rId74" display="https://arxiv.org/abs/2404.16130"/>
    <hyperlink ref="I76" r:id="rId75" display="https://arxiv.org/abs/2310.11511"/>
    <hyperlink ref="I77" r:id="rId76" display="https://arxiv.org/abs/2005.11401"/>
    <hyperlink ref="I78" r:id="rId77" display="https://developers.llamaindex.ai/python/framework/"/>
    <hyperlink ref="I79" r:id="rId78" display="https://github.com/anshu8830/anshu/blob/main/curriculum/concepts/04-rag-and-evaluation-metrics.md"/>
    <hyperlink ref="I80" r:id="rId79" display="https://hamel.dev/blog/posts/evals/"/>
    <hyperlink ref="I81" r:id="rId80" display="https://hamel.dev/blog/posts/evals/"/>
    <hyperlink ref="I82" r:id="rId81" display="https://arxiv.org/abs/2306.05685"/>
    <hyperlink ref="I83" r:id="rId82" display="https://hamel.dev/blog/posts/llm-judge/"/>
    <hyperlink ref="I84" r:id="rId83" display="https://arxiv.org/abs/2309.15217"/>
    <hyperlink ref="I85" r:id="rId84" display="https://docs.ragas.io/en/stable/concepts/metrics/available_metrics/"/>
    <hyperlink ref="I86" r:id="rId85" display="https://cs336.stanford.edu/lectures/?trace=lecture_12"/>
    <hyperlink ref="I87" r:id="rId86" display="https://github.com/anshu8830/anshu/blob/main/curriculum/concepts/04-rag-and-evaluation-metrics.md"/>
    <hyperlink ref="I88" r:id="rId87" display="https://inspect.aisi.org.uk/"/>
    <hyperlink ref="I89" r:id="rId88" display="https://www.anthropic.com/engineering/demystifying-evals-for-ai-agents"/>
    <hyperlink ref="I90" r:id="rId89" display="https://arxiv.org/abs/2406.12045"/>
    <hyperlink ref="I91" r:id="rId90" display="https://hamel.dev/blog/posts/llm-judge/"/>
    <hyperlink ref="I92" r:id="rId91" display="https://github.com/anshu8830/anshu/blob/main/curriculum/concepts/04-rag-and-evaluation-metrics.md"/>
    <hyperlink ref="I93" r:id="rId92" display="https://github.com/stanford-cs336/lectures/blob/main/lecture_15.pdf"/>
    <hyperlink ref="I94" r:id="rId93" display="https://huggingface.co/docs/transformers/chat_templating"/>
    <hyperlink ref="I95" r:id="rId94" display="https://huggingface.co/docs/trl/sft_trainer"/>
    <hyperlink ref="I96" r:id="rId95" display="https://arxiv.org/abs/2106.09685"/>
    <hyperlink ref="I97" r:id="rId96" display="https://thinkingmachines.ai/blog/lora/"/>
    <hyperlink ref="I98" r:id="rId97" display="https://arxiv.org/abs/2305.14314"/>
    <hyperlink ref="I99" r:id="rId98" display="https://unsloth.ai/docs/get-started/fine-tuning-llms-guide"/>
    <hyperlink ref="I100" r:id="rId99" display="https://github.com/huggingface/smol-course"/>
    <hyperlink ref="I101" r:id="rId100" display="https://github.com/huggingface/smol-course"/>
    <hyperlink ref="I102" r:id="rId101" display="https://thinkingmachines.ai/blog/lora/"/>
    <hyperlink ref="I103" r:id="rId102" display="https://arxiv.org/abs/2106.09685"/>
    <hyperlink ref="I104" r:id="rId103" display="https://spinningup.openai.com/en/latest/spinningup/rl_intro3.html"/>
    <hyperlink ref="I105" r:id="rId104" display="https://www.youtube.com/watch?v=AKbX1Zvo7r8"/>
    <hyperlink ref="I106" r:id="rId105" display="https://arxiv.org/abs/1707.06347"/>
    <hyperlink ref="I107" r:id="rId106" display="https://www.youtube.com/watch?v=qGyFrqc34yc"/>
    <hyperlink ref="I108" r:id="rId107" display="https://rlhfbook.com/"/>
    <hyperlink ref="I109" r:id="rId108" display="https://www.youtube.com/watch?v=hvGa5Mba4c8"/>
    <hyperlink ref="I110" r:id="rId109" display="https://arxiv.org/abs/2305.18290"/>
    <hyperlink ref="I111" r:id="rId110" display="https://arxiv.org/abs/2402.03300"/>
    <hyperlink ref="I112" r:id="rId111" display="https://lilianweng.github.io/posts/2024-11-28-reward-hacking/"/>
    <hyperlink ref="I113" r:id="rId112" display="https://arxiv.org/abs/2503.20783"/>
    <hyperlink ref="I114" r:id="rId113" display="https://huggingface.co/learn/llm-course/en/chapter12/4"/>
    <hyperlink ref="I115" r:id="rId114" display="https://arxiv.org/abs/2503.20783"/>
    <hyperlink ref="I116" r:id="rId115" display="https://arxiv.org/abs/2501.19393"/>
    <hyperlink ref="I117" r:id="rId116" display="https://www.anthropic.com/engineering/building-effective-agents"/>
    <hyperlink ref="I118" r:id="rId117" display="https://arxiv.org/abs/2210.03629"/>
    <hyperlink ref="I119" r:id="rId118" display="https://www.anthropic.com/engineering/effective-context-engineering-for-ai-agents"/>
    <hyperlink ref="I120" r:id="rId119" display="https://arxiv.org/abs/2310.08560"/>
    <hyperlink ref="I121" r:id="rId120" display="https://www.anthropic.com/engineering/writing-tools-for-agents"/>
    <hyperlink ref="I122" r:id="rId121" display="https://simonwillison.net/2025/Jun/16/the-lethal-trifecta/"/>
    <hyperlink ref="I123" r:id="rId122" display="https://modelcontextprotocol.io/specification/2026-07-28"/>
    <hyperlink ref="I124" r:id="rId123" display="https://huggingface.co/learn/mcp-course/en/unit0/introduction"/>
    <hyperlink ref="I125" r:id="rId124" display="https://docs.langchain.com/oss/python/langchain/middleware/overview"/>
    <hyperlink ref="I126" r:id="rId125" display="https://academy.langchain.com/courses/intro-to-langgraph"/>
    <hyperlink ref="I127" r:id="rId126" display="https://openai.github.io/openai-agents-python/"/>
    <hyperlink ref="I128" r:id="rId127" display="https://docs.langchain.com/oss/python/langgraph/overview"/>
    <hyperlink ref="I129" r:id="rId128" display="https://www.anthropic.com/engineering/demystifying-evals-for-ai-agents"/>
    <hyperlink ref="I130" r:id="rId129" display="https://modal.com/gpu-glossary"/>
    <hyperlink ref="I131" r:id="rId130" display="https://horace.io/brrr_intro.html"/>
    <hyperlink ref="I132" r:id="rId131" display="https://jax-ml.github.io/scaling-book/roofline/"/>
    <hyperlink ref="I133" r:id="rId132" display="https://cs336.stanford.edu/lectures/?trace=lecture_06"/>
    <hyperlink ref="I134" r:id="rId133" display="https://triton-lang.org/main/getting-started/tutorials/02-fused-softmax.html"/>
    <hyperlink ref="I135" r:id="rId134" display="https://arxiv.org/abs/2205.14135"/>
    <hyperlink ref="I136" r:id="rId135" display="https://www.youtube.com/watch?v=gMOAud7hZg4"/>
    <hyperlink ref="I137" r:id="rId136" display="https://www.aleksagordic.com/blog/vllm"/>
    <hyperlink ref="I138" r:id="rId137" display="https://newsletter.maartengrootendorst.com/p/a-visual-guide-to-quantization"/>
    <hyperlink ref="I139" r:id="rId138" display="https://arxiv.org/abs/2211.17192"/>
    <hyperlink ref="I140" r:id="rId139" display="https://www.youtube.com/watch?v=S-8yr_RibJ4"/>
    <hyperlink ref="I141" r:id="rId140" display="https://nvidia.github.io/TensorRT-LLM/"/>
    <hyperlink ref="I142" r:id="rId141" display="https://github.com/vllm-project/vllm"/>
    <hyperlink ref="I143" r:id="rId142" display="https://arxiv.org/abs/2309.06180"/>
    <hyperlink ref="I144" r:id="rId143" display="https://huggingface.co/spaces/nanotron/ultrascale-playbook"/>
    <hyperlink ref="I145" r:id="rId144" display="https://arxiv.org/abs/1910.02054"/>
    <hyperlink ref="I146" r:id="rId145" display="https://github.com/huggingface/picotron"/>
    <hyperlink ref="I147" r:id="rId146" display="https://arxiv.org/abs/2406.17557"/>
    <hyperlink ref="I148" r:id="rId147" display="https://arxiv.org/abs/2103.00020"/>
    <hyperlink ref="I149" r:id="rId148" display="https://huggingface.co/learn/computer-vision-course/en/unit4/multimodal-models/clip-and-relatives/clip"/>
    <hyperlink ref="I150" r:id="rId149" display="https://magazine.sebastianraschka.com/p/understanding-multimodal-llms"/>
    <hyperlink ref="I151" r:id="rId150" display="https://github.com/huggingface/nanoVLM"/>
    <hyperlink ref="I152" r:id="rId151" display="https://arxiv.org/abs/2407.01449"/>
    <hyperlink ref="I153" r:id="rId152" display="https://github.com/illuin-tech/colpali"/>
    <hyperlink ref="I154" r:id="rId153" display="https://github.com/illuin-tech/colpali"/>
    <hyperlink ref="I155" r:id="rId154" display="https://github.com/anshu8830/anshu/blob/main/curriculum/concepts/04-rag-and-evaluation-metrics.md"/>
    <hyperlink ref="I156" r:id="rId155" display="https://github.com/SWE-agent/mini-swe-agent"/>
    <hyperlink ref="I157" r:id="rId156" display="https://aider.chat/docs/repomap.html"/>
    <hyperlink ref="I158" r:id="rId157" display="https://github.com/SWE-agent/mini-swe-agent"/>
    <hyperlink ref="I159" r:id="rId158" display="https://arxiv.org/abs/2406.18665"/>
    <hyperlink ref="I160" r:id="rId159" display="https://huggingface.co/blog/vlms-2025"/>
    <hyperlink ref="I162" r:id="rId160" display="https://github.com/SWE-bench/SWE-bench"/>
    <hyperlink ref="I163" r:id="rId161" display="https://www.anthropic.com/engineering/demystifying-evals-for-ai-agents"/>
    <hyperlink ref="I164" r:id="rId162" display="https://genai.owasp.org/llm-top-10/"/>
    <hyperlink ref="I165" r:id="rId163" display="https://github.com/anshu8830/anshu/blob/main/curriculum/09-capstone-ai-software-engineer.md"/>
    <hyperlink ref="I166" r:id="rId164" display="https://github.com/anshu8830/anshu/blob/main/curriculum/08-skill-checkpoints.md"/>
    <hyperlink ref="I167" r:id="rId165" display="https://github.com/anshu8830/anshu/blob/main/curriculum/10-2027-continuation.md"/>
    <hyperlink ref="I168" r:id="rId166" display="https://github.com/anshu8830/anshu/blob/main/curriculum/09-capstone-ai-software-engineer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36"/>
  </cols>
  <sheetData>
    <row r="1" customFormat="false" ht="15" hidden="false" customHeight="false" outlineLevel="0" collapsed="false">
      <c r="A1" s="12" t="s">
        <v>803</v>
      </c>
      <c r="B1" s="12" t="s">
        <v>312</v>
      </c>
      <c r="C1" s="12" t="s">
        <v>804</v>
      </c>
      <c r="D1" s="12" t="s">
        <v>805</v>
      </c>
      <c r="E1" s="12" t="s">
        <v>806</v>
      </c>
      <c r="F1" s="12" t="s">
        <v>807</v>
      </c>
      <c r="G1" s="12" t="s">
        <v>808</v>
      </c>
      <c r="H1" s="12" t="s">
        <v>22</v>
      </c>
      <c r="I1" s="12" t="s">
        <v>809</v>
      </c>
    </row>
    <row r="2" customFormat="false" ht="17.35" hidden="false" customHeight="false" outlineLevel="0" collapsed="false">
      <c r="A2" s="15" t="s">
        <v>28</v>
      </c>
      <c r="B2" s="26" t="s">
        <v>810</v>
      </c>
      <c r="C2" s="15" t="s">
        <v>60</v>
      </c>
      <c r="D2" s="34" t="n">
        <v>46298</v>
      </c>
      <c r="E2" s="15" t="s">
        <v>811</v>
      </c>
      <c r="F2" s="15" t="s">
        <v>812</v>
      </c>
      <c r="G2" s="35" t="s">
        <v>813</v>
      </c>
      <c r="H2" s="36" t="s">
        <v>217</v>
      </c>
      <c r="I2" s="15"/>
    </row>
    <row r="3" customFormat="false" ht="23.85" hidden="false" customHeight="false" outlineLevel="0" collapsed="false">
      <c r="A3" s="15" t="s">
        <v>30</v>
      </c>
      <c r="B3" s="26" t="s">
        <v>814</v>
      </c>
      <c r="C3" s="15" t="s">
        <v>62</v>
      </c>
      <c r="D3" s="34" t="n">
        <v>46305</v>
      </c>
      <c r="E3" s="15" t="s">
        <v>815</v>
      </c>
      <c r="F3" s="15" t="s">
        <v>816</v>
      </c>
      <c r="G3" s="35" t="s">
        <v>813</v>
      </c>
      <c r="H3" s="36" t="s">
        <v>217</v>
      </c>
      <c r="I3" s="15"/>
    </row>
    <row r="4" customFormat="false" ht="23.85" hidden="false" customHeight="false" outlineLevel="0" collapsed="false">
      <c r="A4" s="15" t="s">
        <v>32</v>
      </c>
      <c r="B4" s="26" t="s">
        <v>817</v>
      </c>
      <c r="C4" s="15" t="s">
        <v>818</v>
      </c>
      <c r="D4" s="34" t="n">
        <v>46319</v>
      </c>
      <c r="E4" s="15" t="s">
        <v>819</v>
      </c>
      <c r="F4" s="15" t="s">
        <v>820</v>
      </c>
      <c r="G4" s="35" t="s">
        <v>813</v>
      </c>
      <c r="H4" s="36" t="s">
        <v>217</v>
      </c>
      <c r="I4" s="15"/>
    </row>
    <row r="5" customFormat="false" ht="23.85" hidden="false" customHeight="false" outlineLevel="0" collapsed="false">
      <c r="A5" s="15" t="s">
        <v>34</v>
      </c>
      <c r="B5" s="26" t="s">
        <v>821</v>
      </c>
      <c r="C5" s="15" t="s">
        <v>68</v>
      </c>
      <c r="D5" s="34" t="n">
        <v>46326</v>
      </c>
      <c r="E5" s="15" t="s">
        <v>822</v>
      </c>
      <c r="F5" s="15" t="s">
        <v>823</v>
      </c>
      <c r="G5" s="35" t="s">
        <v>813</v>
      </c>
      <c r="H5" s="36" t="s">
        <v>217</v>
      </c>
      <c r="I5" s="15"/>
    </row>
    <row r="6" customFormat="false" ht="23.85" hidden="false" customHeight="false" outlineLevel="0" collapsed="false">
      <c r="A6" s="15" t="s">
        <v>36</v>
      </c>
      <c r="B6" s="26" t="s">
        <v>824</v>
      </c>
      <c r="C6" s="15" t="s">
        <v>70</v>
      </c>
      <c r="D6" s="34" t="n">
        <v>46333</v>
      </c>
      <c r="E6" s="15" t="s">
        <v>825</v>
      </c>
      <c r="F6" s="15" t="s">
        <v>826</v>
      </c>
      <c r="G6" s="35" t="s">
        <v>813</v>
      </c>
      <c r="H6" s="36" t="s">
        <v>217</v>
      </c>
      <c r="I6" s="15"/>
    </row>
    <row r="7" customFormat="false" ht="23.85" hidden="false" customHeight="false" outlineLevel="0" collapsed="false">
      <c r="A7" s="15" t="s">
        <v>38</v>
      </c>
      <c r="B7" s="26" t="s">
        <v>827</v>
      </c>
      <c r="C7" s="15" t="s">
        <v>72</v>
      </c>
      <c r="D7" s="34" t="n">
        <v>46340</v>
      </c>
      <c r="E7" s="15" t="s">
        <v>828</v>
      </c>
      <c r="F7" s="15" t="s">
        <v>829</v>
      </c>
      <c r="G7" s="35" t="s">
        <v>813</v>
      </c>
      <c r="H7" s="36" t="s">
        <v>217</v>
      </c>
      <c r="I7" s="15"/>
    </row>
    <row r="8" customFormat="false" ht="23.85" hidden="false" customHeight="false" outlineLevel="0" collapsed="false">
      <c r="A8" s="15" t="s">
        <v>40</v>
      </c>
      <c r="B8" s="26" t="s">
        <v>830</v>
      </c>
      <c r="C8" s="15" t="s">
        <v>831</v>
      </c>
      <c r="D8" s="34" t="n">
        <v>46354</v>
      </c>
      <c r="E8" s="15" t="s">
        <v>832</v>
      </c>
      <c r="F8" s="15" t="s">
        <v>833</v>
      </c>
      <c r="G8" s="35" t="s">
        <v>813</v>
      </c>
      <c r="H8" s="36" t="s">
        <v>217</v>
      </c>
      <c r="I8" s="15"/>
    </row>
    <row r="9" customFormat="false" ht="23.85" hidden="false" customHeight="false" outlineLevel="0" collapsed="false">
      <c r="A9" s="15" t="s">
        <v>42</v>
      </c>
      <c r="B9" s="26" t="s">
        <v>834</v>
      </c>
      <c r="C9" s="15" t="s">
        <v>78</v>
      </c>
      <c r="D9" s="34" t="n">
        <v>46361</v>
      </c>
      <c r="E9" s="15" t="s">
        <v>835</v>
      </c>
      <c r="F9" s="15" t="s">
        <v>836</v>
      </c>
      <c r="G9" s="35" t="s">
        <v>813</v>
      </c>
      <c r="H9" s="36" t="s">
        <v>217</v>
      </c>
      <c r="I9" s="15"/>
    </row>
    <row r="10" customFormat="false" ht="23.85" hidden="false" customHeight="false" outlineLevel="0" collapsed="false">
      <c r="A10" s="15" t="s">
        <v>44</v>
      </c>
      <c r="B10" s="26" t="s">
        <v>837</v>
      </c>
      <c r="C10" s="15" t="s">
        <v>78</v>
      </c>
      <c r="D10" s="34" t="n">
        <v>46361</v>
      </c>
      <c r="E10" s="15" t="s">
        <v>838</v>
      </c>
      <c r="F10" s="15" t="s">
        <v>839</v>
      </c>
      <c r="G10" s="35" t="s">
        <v>813</v>
      </c>
      <c r="H10" s="36" t="s">
        <v>217</v>
      </c>
      <c r="I10" s="15"/>
    </row>
    <row r="11" customFormat="false" ht="23.85" hidden="false" customHeight="false" outlineLevel="0" collapsed="false">
      <c r="A11" s="15" t="s">
        <v>46</v>
      </c>
      <c r="B11" s="26" t="s">
        <v>840</v>
      </c>
      <c r="C11" s="15" t="s">
        <v>80</v>
      </c>
      <c r="D11" s="34" t="n">
        <v>46368</v>
      </c>
      <c r="E11" s="15" t="s">
        <v>841</v>
      </c>
      <c r="F11" s="15" t="s">
        <v>842</v>
      </c>
      <c r="G11" s="35" t="s">
        <v>813</v>
      </c>
      <c r="H11" s="36" t="s">
        <v>217</v>
      </c>
      <c r="I11" s="15"/>
    </row>
    <row r="12" customFormat="false" ht="23.85" hidden="false" customHeight="false" outlineLevel="0" collapsed="false">
      <c r="A12" s="15" t="s">
        <v>48</v>
      </c>
      <c r="B12" s="26" t="s">
        <v>843</v>
      </c>
      <c r="C12" s="15" t="s">
        <v>82</v>
      </c>
      <c r="D12" s="34" t="n">
        <v>46375</v>
      </c>
      <c r="E12" s="15" t="s">
        <v>844</v>
      </c>
      <c r="F12" s="15" t="s">
        <v>845</v>
      </c>
      <c r="G12" s="35" t="s">
        <v>813</v>
      </c>
      <c r="H12" s="36" t="s">
        <v>217</v>
      </c>
      <c r="I12" s="15"/>
    </row>
    <row r="13" customFormat="false" ht="23.85" hidden="false" customHeight="false" outlineLevel="0" collapsed="false">
      <c r="A13" s="15" t="s">
        <v>54</v>
      </c>
      <c r="B13" s="26" t="s">
        <v>846</v>
      </c>
      <c r="C13" s="15" t="s">
        <v>187</v>
      </c>
      <c r="D13" s="34" t="n">
        <v>46387</v>
      </c>
      <c r="E13" s="15" t="s">
        <v>847</v>
      </c>
      <c r="F13" s="15" t="s">
        <v>848</v>
      </c>
      <c r="G13" s="35" t="s">
        <v>813</v>
      </c>
      <c r="H13" s="36" t="s">
        <v>217</v>
      </c>
      <c r="I13" s="15"/>
    </row>
  </sheetData>
  <conditionalFormatting sqref="A2:I13">
    <cfRule type="expression" priority="2" aboveAverage="0" equalAverage="0" bottom="0" percent="0" rank="0" text="" dxfId="6">
      <formula>OR($H2="☑",$H2=1,$G2="Done")</formula>
    </cfRule>
  </conditionalFormatting>
  <dataValidations count="2">
    <dataValidation allowBlank="false" errorStyle="stop" operator="between" showDropDown="false" showErrorMessage="false" showInputMessage="false" sqref="H2:H13" type="list">
      <formula1>"☐,☑"</formula1>
      <formula2>0</formula2>
    </dataValidation>
    <dataValidation allowBlank="false" errorStyle="stop" operator="between" showDropDown="false" showErrorMessage="false" showInputMessage="false" sqref="G2:G13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2" min="11" style="0" width="28"/>
    <col collapsed="false" customWidth="true" hidden="false" outlineLevel="0" max="14" min="13" style="0" width="7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12" t="s">
        <v>203</v>
      </c>
      <c r="B1" s="12" t="s">
        <v>849</v>
      </c>
      <c r="C1" s="12" t="s">
        <v>850</v>
      </c>
      <c r="D1" s="12" t="s">
        <v>851</v>
      </c>
      <c r="E1" s="12" t="s">
        <v>852</v>
      </c>
      <c r="F1" s="12" t="s">
        <v>57</v>
      </c>
      <c r="G1" s="12" t="s">
        <v>208</v>
      </c>
      <c r="H1" s="12" t="s">
        <v>853</v>
      </c>
      <c r="I1" s="12" t="s">
        <v>854</v>
      </c>
      <c r="J1" s="12" t="s">
        <v>855</v>
      </c>
      <c r="K1" s="12" t="s">
        <v>856</v>
      </c>
      <c r="L1" s="12" t="s">
        <v>857</v>
      </c>
      <c r="M1" s="12" t="s">
        <v>858</v>
      </c>
      <c r="N1" s="12" t="s">
        <v>859</v>
      </c>
      <c r="O1" s="12" t="s">
        <v>210</v>
      </c>
    </row>
    <row r="2" customFormat="false" ht="17.35" hidden="false" customHeight="false" outlineLevel="0" collapsed="false">
      <c r="A2" s="15" t="n">
        <v>1</v>
      </c>
      <c r="B2" s="26" t="s">
        <v>860</v>
      </c>
      <c r="C2" s="15" t="s">
        <v>861</v>
      </c>
      <c r="D2" s="15" t="n">
        <v>2007</v>
      </c>
      <c r="E2" s="15" t="n">
        <v>1</v>
      </c>
      <c r="F2" s="15" t="s">
        <v>60</v>
      </c>
      <c r="G2" s="27" t="s">
        <v>862</v>
      </c>
      <c r="H2" s="15" t="s">
        <v>863</v>
      </c>
      <c r="I2" s="15" t="s">
        <v>864</v>
      </c>
      <c r="J2" s="15" t="s">
        <v>865</v>
      </c>
      <c r="K2" s="15" t="s">
        <v>866</v>
      </c>
      <c r="L2" s="15" t="s">
        <v>867</v>
      </c>
      <c r="M2" s="15" t="s">
        <v>868</v>
      </c>
      <c r="N2" s="36" t="s">
        <v>217</v>
      </c>
      <c r="O2" s="15"/>
    </row>
    <row r="3" customFormat="false" ht="23.85" hidden="false" customHeight="false" outlineLevel="0" collapsed="false">
      <c r="A3" s="15" t="n">
        <v>2</v>
      </c>
      <c r="B3" s="26" t="s">
        <v>869</v>
      </c>
      <c r="C3" s="15" t="s">
        <v>870</v>
      </c>
      <c r="D3" s="15" t="n">
        <v>2018</v>
      </c>
      <c r="E3" s="15" t="n">
        <v>1</v>
      </c>
      <c r="F3" s="15" t="s">
        <v>62</v>
      </c>
      <c r="G3" s="27" t="s">
        <v>871</v>
      </c>
      <c r="H3" s="15" t="s">
        <v>872</v>
      </c>
      <c r="I3" s="15" t="s">
        <v>873</v>
      </c>
      <c r="J3" s="15" t="s">
        <v>874</v>
      </c>
      <c r="K3" s="15" t="s">
        <v>867</v>
      </c>
      <c r="L3" s="15" t="s">
        <v>867</v>
      </c>
      <c r="M3" s="15" t="s">
        <v>868</v>
      </c>
      <c r="N3" s="36" t="s">
        <v>217</v>
      </c>
      <c r="O3" s="15"/>
    </row>
    <row r="4" customFormat="false" ht="17.35" hidden="false" customHeight="false" outlineLevel="0" collapsed="false">
      <c r="A4" s="15" t="n">
        <v>3</v>
      </c>
      <c r="B4" s="26" t="s">
        <v>875</v>
      </c>
      <c r="C4" s="15" t="s">
        <v>876</v>
      </c>
      <c r="D4" s="15" t="n">
        <v>2020</v>
      </c>
      <c r="E4" s="15" t="n">
        <v>1</v>
      </c>
      <c r="F4" s="15" t="s">
        <v>62</v>
      </c>
      <c r="G4" s="27" t="s">
        <v>877</v>
      </c>
      <c r="H4" s="15" t="s">
        <v>878</v>
      </c>
      <c r="I4" s="15" t="s">
        <v>879</v>
      </c>
      <c r="J4" s="15" t="s">
        <v>880</v>
      </c>
      <c r="K4" s="15" t="s">
        <v>881</v>
      </c>
      <c r="L4" s="15" t="s">
        <v>867</v>
      </c>
      <c r="M4" s="15" t="s">
        <v>868</v>
      </c>
      <c r="N4" s="36" t="s">
        <v>217</v>
      </c>
      <c r="O4" s="15"/>
    </row>
    <row r="5" customFormat="false" ht="23.85" hidden="false" customHeight="false" outlineLevel="0" collapsed="false">
      <c r="A5" s="15" t="n">
        <v>4</v>
      </c>
      <c r="B5" s="26" t="s">
        <v>882</v>
      </c>
      <c r="C5" s="15" t="s">
        <v>883</v>
      </c>
      <c r="D5" s="15" t="n">
        <v>2015</v>
      </c>
      <c r="E5" s="15" t="n">
        <v>1</v>
      </c>
      <c r="F5" s="15" t="s">
        <v>64</v>
      </c>
      <c r="G5" s="27" t="s">
        <v>325</v>
      </c>
      <c r="H5" s="15" t="s">
        <v>884</v>
      </c>
      <c r="I5" s="15" t="s">
        <v>864</v>
      </c>
      <c r="J5" s="15" t="s">
        <v>885</v>
      </c>
      <c r="K5" s="15" t="s">
        <v>886</v>
      </c>
      <c r="L5" s="15" t="s">
        <v>867</v>
      </c>
      <c r="M5" s="15" t="s">
        <v>868</v>
      </c>
      <c r="N5" s="36" t="s">
        <v>217</v>
      </c>
      <c r="O5" s="15"/>
    </row>
    <row r="6" customFormat="false" ht="17.35" hidden="false" customHeight="false" outlineLevel="0" collapsed="false">
      <c r="A6" s="15" t="n">
        <v>5</v>
      </c>
      <c r="B6" s="26" t="s">
        <v>887</v>
      </c>
      <c r="C6" s="15" t="s">
        <v>888</v>
      </c>
      <c r="D6" s="15" t="n">
        <v>2018</v>
      </c>
      <c r="E6" s="15" t="n">
        <v>1</v>
      </c>
      <c r="F6" s="15" t="s">
        <v>64</v>
      </c>
      <c r="G6" s="27" t="s">
        <v>339</v>
      </c>
      <c r="H6" s="15" t="s">
        <v>889</v>
      </c>
      <c r="I6" s="15" t="s">
        <v>890</v>
      </c>
      <c r="J6" s="15" t="s">
        <v>891</v>
      </c>
      <c r="K6" s="15" t="s">
        <v>892</v>
      </c>
      <c r="L6" s="15" t="s">
        <v>867</v>
      </c>
      <c r="M6" s="15" t="s">
        <v>868</v>
      </c>
      <c r="N6" s="36" t="s">
        <v>217</v>
      </c>
      <c r="O6" s="15"/>
    </row>
    <row r="7" customFormat="false" ht="23.85" hidden="false" customHeight="false" outlineLevel="0" collapsed="false">
      <c r="A7" s="15" t="n">
        <v>6</v>
      </c>
      <c r="B7" s="26" t="s">
        <v>460</v>
      </c>
      <c r="C7" s="15" t="s">
        <v>893</v>
      </c>
      <c r="D7" s="15" t="n">
        <v>2023</v>
      </c>
      <c r="E7" s="15" t="n">
        <v>1</v>
      </c>
      <c r="F7" s="15" t="s">
        <v>70</v>
      </c>
      <c r="G7" s="27" t="s">
        <v>462</v>
      </c>
      <c r="H7" s="15" t="s">
        <v>894</v>
      </c>
      <c r="I7" s="15" t="s">
        <v>895</v>
      </c>
      <c r="J7" s="15" t="s">
        <v>896</v>
      </c>
      <c r="K7" s="15" t="s">
        <v>867</v>
      </c>
      <c r="L7" s="15" t="s">
        <v>897</v>
      </c>
      <c r="M7" s="15" t="s">
        <v>868</v>
      </c>
      <c r="N7" s="36" t="s">
        <v>217</v>
      </c>
      <c r="O7" s="15"/>
    </row>
    <row r="8" customFormat="false" ht="17.35" hidden="false" customHeight="false" outlineLevel="0" collapsed="false">
      <c r="A8" s="15" t="n">
        <v>7</v>
      </c>
      <c r="B8" s="26" t="s">
        <v>898</v>
      </c>
      <c r="C8" s="15" t="s">
        <v>899</v>
      </c>
      <c r="D8" s="15" t="n">
        <v>2022</v>
      </c>
      <c r="E8" s="15" t="n">
        <v>1</v>
      </c>
      <c r="F8" s="15" t="s">
        <v>76</v>
      </c>
      <c r="G8" s="27" t="s">
        <v>900</v>
      </c>
      <c r="H8" s="15" t="s">
        <v>901</v>
      </c>
      <c r="I8" s="15" t="s">
        <v>902</v>
      </c>
      <c r="J8" s="15" t="s">
        <v>891</v>
      </c>
      <c r="K8" s="15" t="s">
        <v>867</v>
      </c>
      <c r="L8" s="15" t="s">
        <v>867</v>
      </c>
      <c r="M8" s="15" t="s">
        <v>868</v>
      </c>
      <c r="N8" s="36" t="s">
        <v>217</v>
      </c>
      <c r="O8" s="15"/>
    </row>
    <row r="9" customFormat="false" ht="23.85" hidden="false" customHeight="false" outlineLevel="0" collapsed="false">
      <c r="A9" s="15" t="n">
        <v>8</v>
      </c>
      <c r="B9" s="26" t="s">
        <v>903</v>
      </c>
      <c r="C9" s="15" t="s">
        <v>904</v>
      </c>
      <c r="D9" s="15" t="n">
        <v>2017</v>
      </c>
      <c r="E9" s="15" t="n">
        <v>2</v>
      </c>
      <c r="F9" s="15" t="s">
        <v>60</v>
      </c>
      <c r="G9" s="27" t="s">
        <v>259</v>
      </c>
      <c r="H9" s="15" t="s">
        <v>905</v>
      </c>
      <c r="I9" s="15" t="s">
        <v>906</v>
      </c>
      <c r="J9" s="15" t="s">
        <v>907</v>
      </c>
      <c r="K9" s="15" t="s">
        <v>908</v>
      </c>
      <c r="L9" s="15" t="s">
        <v>909</v>
      </c>
      <c r="M9" s="15" t="s">
        <v>868</v>
      </c>
      <c r="N9" s="36" t="s">
        <v>217</v>
      </c>
      <c r="O9" s="15"/>
    </row>
    <row r="10" customFormat="false" ht="23.85" hidden="false" customHeight="false" outlineLevel="0" collapsed="false">
      <c r="A10" s="15" t="n">
        <v>9</v>
      </c>
      <c r="B10" s="26" t="s">
        <v>910</v>
      </c>
      <c r="C10" s="15" t="s">
        <v>911</v>
      </c>
      <c r="D10" s="15" t="n">
        <v>2018</v>
      </c>
      <c r="E10" s="15" t="n">
        <v>2</v>
      </c>
      <c r="F10" s="15" t="s">
        <v>62</v>
      </c>
      <c r="G10" s="27" t="s">
        <v>318</v>
      </c>
      <c r="H10" s="15" t="s">
        <v>912</v>
      </c>
      <c r="I10" s="15" t="s">
        <v>913</v>
      </c>
      <c r="J10" s="15" t="s">
        <v>914</v>
      </c>
      <c r="K10" s="15" t="s">
        <v>915</v>
      </c>
      <c r="L10" s="15" t="s">
        <v>867</v>
      </c>
      <c r="M10" s="15" t="s">
        <v>868</v>
      </c>
      <c r="N10" s="36" t="s">
        <v>217</v>
      </c>
      <c r="O10" s="15"/>
    </row>
    <row r="11" customFormat="false" ht="23.85" hidden="false" customHeight="false" outlineLevel="0" collapsed="false">
      <c r="A11" s="15" t="n">
        <v>10</v>
      </c>
      <c r="B11" s="26" t="s">
        <v>916</v>
      </c>
      <c r="C11" s="15" t="s">
        <v>917</v>
      </c>
      <c r="D11" s="15" t="n">
        <v>2019</v>
      </c>
      <c r="E11" s="15" t="n">
        <v>2</v>
      </c>
      <c r="F11" s="15" t="s">
        <v>62</v>
      </c>
      <c r="G11" s="27" t="s">
        <v>918</v>
      </c>
      <c r="H11" s="15" t="s">
        <v>919</v>
      </c>
      <c r="I11" s="15" t="s">
        <v>920</v>
      </c>
      <c r="J11" s="15" t="s">
        <v>921</v>
      </c>
      <c r="K11" s="15" t="s">
        <v>922</v>
      </c>
      <c r="L11" s="15" t="s">
        <v>867</v>
      </c>
      <c r="M11" s="15" t="s">
        <v>868</v>
      </c>
      <c r="N11" s="36" t="s">
        <v>217</v>
      </c>
      <c r="O11" s="15"/>
    </row>
    <row r="12" customFormat="false" ht="17.35" hidden="false" customHeight="false" outlineLevel="0" collapsed="false">
      <c r="A12" s="15" t="n">
        <v>11</v>
      </c>
      <c r="B12" s="26" t="s">
        <v>923</v>
      </c>
      <c r="C12" s="15" t="s">
        <v>924</v>
      </c>
      <c r="D12" s="15" t="n">
        <v>2019</v>
      </c>
      <c r="E12" s="15" t="n">
        <v>2</v>
      </c>
      <c r="F12" s="15" t="s">
        <v>62</v>
      </c>
      <c r="G12" s="27" t="s">
        <v>925</v>
      </c>
      <c r="H12" s="15" t="s">
        <v>926</v>
      </c>
      <c r="I12" s="15" t="s">
        <v>927</v>
      </c>
      <c r="J12" s="15" t="s">
        <v>891</v>
      </c>
      <c r="K12" s="15" t="s">
        <v>928</v>
      </c>
      <c r="L12" s="15" t="s">
        <v>867</v>
      </c>
      <c r="M12" s="15" t="s">
        <v>868</v>
      </c>
      <c r="N12" s="36" t="s">
        <v>217</v>
      </c>
      <c r="O12" s="15"/>
    </row>
    <row r="13" customFormat="false" ht="23.85" hidden="false" customHeight="false" outlineLevel="0" collapsed="false">
      <c r="A13" s="15" t="n">
        <v>12</v>
      </c>
      <c r="B13" s="26" t="s">
        <v>929</v>
      </c>
      <c r="C13" s="15" t="s">
        <v>876</v>
      </c>
      <c r="D13" s="15" t="n">
        <v>2019</v>
      </c>
      <c r="E13" s="15" t="n">
        <v>2</v>
      </c>
      <c r="F13" s="15" t="s">
        <v>62</v>
      </c>
      <c r="G13" s="27" t="s">
        <v>930</v>
      </c>
      <c r="H13" s="15" t="s">
        <v>931</v>
      </c>
      <c r="I13" s="15" t="s">
        <v>932</v>
      </c>
      <c r="J13" s="15" t="s">
        <v>891</v>
      </c>
      <c r="K13" s="15" t="s">
        <v>933</v>
      </c>
      <c r="L13" s="15" t="s">
        <v>867</v>
      </c>
      <c r="M13" s="15" t="s">
        <v>868</v>
      </c>
      <c r="N13" s="36" t="s">
        <v>217</v>
      </c>
      <c r="O13" s="15"/>
    </row>
    <row r="14" customFormat="false" ht="23.85" hidden="false" customHeight="false" outlineLevel="0" collapsed="false">
      <c r="A14" s="15" t="n">
        <v>13</v>
      </c>
      <c r="B14" s="26" t="s">
        <v>934</v>
      </c>
      <c r="C14" s="15" t="s">
        <v>935</v>
      </c>
      <c r="D14" s="15" t="n">
        <v>2023</v>
      </c>
      <c r="E14" s="15" t="n">
        <v>2</v>
      </c>
      <c r="F14" s="15" t="s">
        <v>62</v>
      </c>
      <c r="G14" s="27" t="s">
        <v>307</v>
      </c>
      <c r="H14" s="15" t="s">
        <v>936</v>
      </c>
      <c r="I14" s="15" t="s">
        <v>937</v>
      </c>
      <c r="J14" s="15" t="s">
        <v>938</v>
      </c>
      <c r="K14" s="15" t="s">
        <v>939</v>
      </c>
      <c r="L14" s="15" t="s">
        <v>867</v>
      </c>
      <c r="M14" s="15" t="s">
        <v>868</v>
      </c>
      <c r="N14" s="36" t="s">
        <v>217</v>
      </c>
      <c r="O14" s="15"/>
    </row>
    <row r="15" customFormat="false" ht="17.35" hidden="false" customHeight="false" outlineLevel="0" collapsed="false">
      <c r="A15" s="15" t="n">
        <v>14</v>
      </c>
      <c r="B15" s="26" t="s">
        <v>940</v>
      </c>
      <c r="C15" s="15" t="s">
        <v>941</v>
      </c>
      <c r="D15" s="15" t="n">
        <v>2020</v>
      </c>
      <c r="E15" s="15" t="n">
        <v>2</v>
      </c>
      <c r="F15" s="15" t="s">
        <v>64</v>
      </c>
      <c r="G15" s="27" t="s">
        <v>942</v>
      </c>
      <c r="H15" s="15" t="s">
        <v>943</v>
      </c>
      <c r="I15" s="15" t="s">
        <v>944</v>
      </c>
      <c r="J15" s="15" t="s">
        <v>945</v>
      </c>
      <c r="K15" s="15" t="s">
        <v>867</v>
      </c>
      <c r="L15" s="15" t="s">
        <v>867</v>
      </c>
      <c r="M15" s="15" t="s">
        <v>868</v>
      </c>
      <c r="N15" s="36" t="s">
        <v>217</v>
      </c>
      <c r="O15" s="15"/>
    </row>
    <row r="16" customFormat="false" ht="17.35" hidden="false" customHeight="false" outlineLevel="0" collapsed="false">
      <c r="A16" s="15" t="n">
        <v>15</v>
      </c>
      <c r="B16" s="26" t="s">
        <v>946</v>
      </c>
      <c r="C16" s="15" t="s">
        <v>947</v>
      </c>
      <c r="D16" s="15" t="n">
        <v>2019</v>
      </c>
      <c r="E16" s="15" t="n">
        <v>2</v>
      </c>
      <c r="F16" s="15" t="s">
        <v>66</v>
      </c>
      <c r="G16" s="27" t="s">
        <v>352</v>
      </c>
      <c r="H16" s="15" t="s">
        <v>948</v>
      </c>
      <c r="I16" s="15" t="s">
        <v>949</v>
      </c>
      <c r="J16" s="15" t="s">
        <v>950</v>
      </c>
      <c r="K16" s="15" t="s">
        <v>951</v>
      </c>
      <c r="L16" s="15" t="s">
        <v>952</v>
      </c>
      <c r="M16" s="15" t="s">
        <v>868</v>
      </c>
      <c r="N16" s="36" t="s">
        <v>217</v>
      </c>
      <c r="O16" s="15"/>
    </row>
    <row r="17" customFormat="false" ht="17.35" hidden="false" customHeight="false" outlineLevel="0" collapsed="false">
      <c r="A17" s="15" t="n">
        <v>16</v>
      </c>
      <c r="B17" s="26" t="s">
        <v>953</v>
      </c>
      <c r="C17" s="15" t="s">
        <v>954</v>
      </c>
      <c r="D17" s="15" t="n">
        <v>2024</v>
      </c>
      <c r="E17" s="15" t="n">
        <v>2</v>
      </c>
      <c r="F17" s="15" t="s">
        <v>66</v>
      </c>
      <c r="G17" s="27" t="s">
        <v>955</v>
      </c>
      <c r="H17" s="15" t="s">
        <v>956</v>
      </c>
      <c r="I17" s="15" t="s">
        <v>957</v>
      </c>
      <c r="J17" s="15" t="s">
        <v>958</v>
      </c>
      <c r="K17" s="15" t="s">
        <v>867</v>
      </c>
      <c r="L17" s="15" t="s">
        <v>867</v>
      </c>
      <c r="M17" s="15" t="s">
        <v>868</v>
      </c>
      <c r="N17" s="36" t="s">
        <v>217</v>
      </c>
      <c r="O17" s="15"/>
    </row>
    <row r="18" customFormat="false" ht="17.35" hidden="false" customHeight="false" outlineLevel="0" collapsed="false">
      <c r="A18" s="15" t="n">
        <v>17</v>
      </c>
      <c r="B18" s="26" t="s">
        <v>959</v>
      </c>
      <c r="C18" s="15" t="s">
        <v>960</v>
      </c>
      <c r="D18" s="15" t="n">
        <v>2019</v>
      </c>
      <c r="E18" s="15" t="n">
        <v>2</v>
      </c>
      <c r="F18" s="15" t="s">
        <v>68</v>
      </c>
      <c r="G18" s="27" t="s">
        <v>961</v>
      </c>
      <c r="H18" s="15" t="s">
        <v>962</v>
      </c>
      <c r="I18" s="15" t="s">
        <v>963</v>
      </c>
      <c r="J18" s="15" t="s">
        <v>964</v>
      </c>
      <c r="K18" s="15" t="s">
        <v>965</v>
      </c>
      <c r="L18" s="15" t="s">
        <v>867</v>
      </c>
      <c r="M18" s="15" t="s">
        <v>868</v>
      </c>
      <c r="N18" s="36" t="s">
        <v>217</v>
      </c>
      <c r="O18" s="15"/>
    </row>
    <row r="19" customFormat="false" ht="23.85" hidden="false" customHeight="false" outlineLevel="0" collapsed="false">
      <c r="A19" s="15" t="n">
        <v>18</v>
      </c>
      <c r="B19" s="26" t="s">
        <v>966</v>
      </c>
      <c r="C19" s="15" t="s">
        <v>967</v>
      </c>
      <c r="D19" s="15" t="n">
        <v>2020</v>
      </c>
      <c r="E19" s="15" t="n">
        <v>2</v>
      </c>
      <c r="F19" s="15" t="s">
        <v>68</v>
      </c>
      <c r="G19" s="27" t="s">
        <v>968</v>
      </c>
      <c r="H19" s="15" t="s">
        <v>969</v>
      </c>
      <c r="I19" s="15" t="s">
        <v>970</v>
      </c>
      <c r="J19" s="15" t="s">
        <v>971</v>
      </c>
      <c r="K19" s="15" t="s">
        <v>972</v>
      </c>
      <c r="L19" s="15" t="s">
        <v>867</v>
      </c>
      <c r="M19" s="15" t="s">
        <v>868</v>
      </c>
      <c r="N19" s="36" t="s">
        <v>217</v>
      </c>
      <c r="O19" s="15"/>
    </row>
    <row r="20" customFormat="false" ht="23.85" hidden="false" customHeight="false" outlineLevel="0" collapsed="false">
      <c r="A20" s="15" t="n">
        <v>19</v>
      </c>
      <c r="B20" s="26" t="s">
        <v>973</v>
      </c>
      <c r="C20" s="15" t="s">
        <v>974</v>
      </c>
      <c r="D20" s="15" t="n">
        <v>2021</v>
      </c>
      <c r="E20" s="15" t="n">
        <v>2</v>
      </c>
      <c r="F20" s="15" t="s">
        <v>68</v>
      </c>
      <c r="G20" s="27" t="s">
        <v>414</v>
      </c>
      <c r="H20" s="15" t="s">
        <v>975</v>
      </c>
      <c r="I20" s="15" t="s">
        <v>976</v>
      </c>
      <c r="J20" s="15" t="s">
        <v>977</v>
      </c>
      <c r="K20" s="15" t="s">
        <v>978</v>
      </c>
      <c r="L20" s="15" t="s">
        <v>979</v>
      </c>
      <c r="M20" s="15" t="s">
        <v>868</v>
      </c>
      <c r="N20" s="36" t="s">
        <v>217</v>
      </c>
      <c r="O20" s="15"/>
    </row>
    <row r="21" customFormat="false" ht="23.85" hidden="false" customHeight="false" outlineLevel="0" collapsed="false">
      <c r="A21" s="15" t="n">
        <v>20</v>
      </c>
      <c r="B21" s="26" t="s">
        <v>980</v>
      </c>
      <c r="C21" s="15" t="s">
        <v>981</v>
      </c>
      <c r="D21" s="15" t="n">
        <v>2020</v>
      </c>
      <c r="E21" s="15" t="n">
        <v>2</v>
      </c>
      <c r="F21" s="15" t="s">
        <v>70</v>
      </c>
      <c r="G21" s="27" t="s">
        <v>478</v>
      </c>
      <c r="H21" s="15" t="s">
        <v>982</v>
      </c>
      <c r="I21" s="15" t="s">
        <v>983</v>
      </c>
      <c r="J21" s="15" t="s">
        <v>984</v>
      </c>
      <c r="K21" s="15" t="s">
        <v>867</v>
      </c>
      <c r="L21" s="15" t="s">
        <v>867</v>
      </c>
      <c r="M21" s="15" t="s">
        <v>868</v>
      </c>
      <c r="N21" s="36" t="s">
        <v>217</v>
      </c>
      <c r="O21" s="15"/>
    </row>
    <row r="22" customFormat="false" ht="23.85" hidden="false" customHeight="false" outlineLevel="0" collapsed="false">
      <c r="A22" s="15" t="n">
        <v>21</v>
      </c>
      <c r="B22" s="26" t="s">
        <v>985</v>
      </c>
      <c r="C22" s="15" t="s">
        <v>986</v>
      </c>
      <c r="D22" s="15" t="n">
        <v>2022</v>
      </c>
      <c r="E22" s="15" t="n">
        <v>2</v>
      </c>
      <c r="F22" s="15" t="s">
        <v>70</v>
      </c>
      <c r="G22" s="27" t="s">
        <v>456</v>
      </c>
      <c r="H22" s="15" t="s">
        <v>987</v>
      </c>
      <c r="I22" s="15" t="s">
        <v>988</v>
      </c>
      <c r="J22" s="15" t="s">
        <v>989</v>
      </c>
      <c r="K22" s="15" t="s">
        <v>990</v>
      </c>
      <c r="L22" s="15" t="s">
        <v>867</v>
      </c>
      <c r="M22" s="15" t="s">
        <v>868</v>
      </c>
      <c r="N22" s="36" t="s">
        <v>217</v>
      </c>
      <c r="O22" s="15"/>
    </row>
    <row r="23" customFormat="false" ht="23.85" hidden="false" customHeight="false" outlineLevel="0" collapsed="false">
      <c r="A23" s="15" t="n">
        <v>22</v>
      </c>
      <c r="B23" s="26" t="s">
        <v>991</v>
      </c>
      <c r="C23" s="15" t="s">
        <v>992</v>
      </c>
      <c r="D23" s="15" t="n">
        <v>2023</v>
      </c>
      <c r="E23" s="15" t="n">
        <v>2</v>
      </c>
      <c r="F23" s="15" t="s">
        <v>72</v>
      </c>
      <c r="G23" s="27" t="s">
        <v>496</v>
      </c>
      <c r="H23" s="15" t="s">
        <v>993</v>
      </c>
      <c r="I23" s="15" t="s">
        <v>994</v>
      </c>
      <c r="J23" s="15" t="s">
        <v>964</v>
      </c>
      <c r="K23" s="15" t="s">
        <v>995</v>
      </c>
      <c r="L23" s="15" t="s">
        <v>996</v>
      </c>
      <c r="M23" s="15" t="s">
        <v>868</v>
      </c>
      <c r="N23" s="36" t="s">
        <v>217</v>
      </c>
      <c r="O23" s="15"/>
    </row>
    <row r="24" customFormat="false" ht="17.35" hidden="false" customHeight="false" outlineLevel="0" collapsed="false">
      <c r="A24" s="15" t="n">
        <v>23</v>
      </c>
      <c r="B24" s="26" t="s">
        <v>997</v>
      </c>
      <c r="C24" s="15" t="s">
        <v>998</v>
      </c>
      <c r="D24" s="15" t="n">
        <v>2023</v>
      </c>
      <c r="E24" s="15" t="n">
        <v>2</v>
      </c>
      <c r="F24" s="15" t="s">
        <v>72</v>
      </c>
      <c r="G24" s="27" t="s">
        <v>999</v>
      </c>
      <c r="H24" s="15" t="s">
        <v>1000</v>
      </c>
      <c r="I24" s="15" t="s">
        <v>1001</v>
      </c>
      <c r="J24" s="15" t="s">
        <v>958</v>
      </c>
      <c r="K24" s="15" t="s">
        <v>1002</v>
      </c>
      <c r="L24" s="15" t="s">
        <v>867</v>
      </c>
      <c r="M24" s="15" t="s">
        <v>868</v>
      </c>
      <c r="N24" s="36" t="s">
        <v>217</v>
      </c>
      <c r="O24" s="15"/>
    </row>
    <row r="25" customFormat="false" ht="23.85" hidden="false" customHeight="false" outlineLevel="0" collapsed="false">
      <c r="A25" s="15" t="n">
        <v>24</v>
      </c>
      <c r="B25" s="26" t="s">
        <v>1003</v>
      </c>
      <c r="C25" s="15" t="s">
        <v>1004</v>
      </c>
      <c r="D25" s="15" t="n">
        <v>2023</v>
      </c>
      <c r="E25" s="15" t="n">
        <v>2</v>
      </c>
      <c r="F25" s="15" t="s">
        <v>72</v>
      </c>
      <c r="G25" s="27" t="s">
        <v>504</v>
      </c>
      <c r="H25" s="15" t="s">
        <v>1005</v>
      </c>
      <c r="I25" s="15" t="s">
        <v>1006</v>
      </c>
      <c r="J25" s="15" t="s">
        <v>989</v>
      </c>
      <c r="K25" s="15" t="s">
        <v>1007</v>
      </c>
      <c r="L25" s="15" t="s">
        <v>867</v>
      </c>
      <c r="M25" s="15" t="s">
        <v>868</v>
      </c>
      <c r="N25" s="36" t="s">
        <v>217</v>
      </c>
      <c r="O25" s="15"/>
    </row>
    <row r="26" customFormat="false" ht="23.85" hidden="false" customHeight="false" outlineLevel="0" collapsed="false">
      <c r="A26" s="15" t="n">
        <v>25</v>
      </c>
      <c r="B26" s="26" t="s">
        <v>1008</v>
      </c>
      <c r="C26" s="15" t="s">
        <v>1009</v>
      </c>
      <c r="D26" s="15" t="n">
        <v>2024</v>
      </c>
      <c r="E26" s="15" t="n">
        <v>2</v>
      </c>
      <c r="F26" s="15" t="s">
        <v>72</v>
      </c>
      <c r="G26" s="27" t="s">
        <v>1010</v>
      </c>
      <c r="H26" s="15" t="s">
        <v>1011</v>
      </c>
      <c r="I26" s="15" t="s">
        <v>1012</v>
      </c>
      <c r="J26" s="15" t="s">
        <v>1013</v>
      </c>
      <c r="K26" s="15" t="s">
        <v>1014</v>
      </c>
      <c r="L26" s="15" t="s">
        <v>867</v>
      </c>
      <c r="M26" s="15" t="s">
        <v>868</v>
      </c>
      <c r="N26" s="36" t="s">
        <v>217</v>
      </c>
      <c r="O26" s="15"/>
    </row>
    <row r="27" customFormat="false" ht="17.35" hidden="false" customHeight="false" outlineLevel="0" collapsed="false">
      <c r="A27" s="15" t="n">
        <v>26</v>
      </c>
      <c r="B27" s="26" t="s">
        <v>1015</v>
      </c>
      <c r="C27" s="15" t="s">
        <v>1016</v>
      </c>
      <c r="D27" s="15" t="n">
        <v>2024</v>
      </c>
      <c r="E27" s="15" t="n">
        <v>2</v>
      </c>
      <c r="F27" s="15" t="s">
        <v>72</v>
      </c>
      <c r="G27" s="27" t="s">
        <v>523</v>
      </c>
      <c r="H27" s="15" t="s">
        <v>1017</v>
      </c>
      <c r="I27" s="15" t="s">
        <v>1018</v>
      </c>
      <c r="J27" s="15" t="s">
        <v>964</v>
      </c>
      <c r="K27" s="15" t="s">
        <v>1019</v>
      </c>
      <c r="L27" s="15" t="s">
        <v>867</v>
      </c>
      <c r="M27" s="15" t="s">
        <v>868</v>
      </c>
      <c r="N27" s="36" t="s">
        <v>217</v>
      </c>
      <c r="O27" s="15"/>
    </row>
    <row r="28" customFormat="false" ht="23.85" hidden="false" customHeight="false" outlineLevel="0" collapsed="false">
      <c r="A28" s="15" t="n">
        <v>27</v>
      </c>
      <c r="B28" s="26" t="s">
        <v>1020</v>
      </c>
      <c r="C28" s="15" t="s">
        <v>1021</v>
      </c>
      <c r="D28" s="15" t="n">
        <v>2021</v>
      </c>
      <c r="E28" s="15" t="n">
        <v>2</v>
      </c>
      <c r="F28" s="15" t="s">
        <v>74</v>
      </c>
      <c r="G28" s="27" t="s">
        <v>544</v>
      </c>
      <c r="H28" s="15" t="s">
        <v>1022</v>
      </c>
      <c r="I28" s="15" t="s">
        <v>1023</v>
      </c>
      <c r="J28" s="15" t="s">
        <v>1024</v>
      </c>
      <c r="K28" s="15" t="s">
        <v>1025</v>
      </c>
      <c r="L28" s="15" t="s">
        <v>1026</v>
      </c>
      <c r="M28" s="15" t="s">
        <v>868</v>
      </c>
      <c r="N28" s="36" t="s">
        <v>217</v>
      </c>
      <c r="O28" s="15"/>
    </row>
    <row r="29" customFormat="false" ht="17.35" hidden="false" customHeight="false" outlineLevel="0" collapsed="false">
      <c r="A29" s="15" t="n">
        <v>28</v>
      </c>
      <c r="B29" s="26" t="s">
        <v>1027</v>
      </c>
      <c r="C29" s="15" t="s">
        <v>1028</v>
      </c>
      <c r="D29" s="15" t="n">
        <v>2025</v>
      </c>
      <c r="E29" s="15" t="n">
        <v>2</v>
      </c>
      <c r="F29" s="15" t="s">
        <v>76</v>
      </c>
      <c r="G29" s="27" t="s">
        <v>613</v>
      </c>
      <c r="H29" s="15" t="s">
        <v>1029</v>
      </c>
      <c r="I29" s="15" t="s">
        <v>1030</v>
      </c>
      <c r="J29" s="15" t="s">
        <v>891</v>
      </c>
      <c r="K29" s="15" t="s">
        <v>1031</v>
      </c>
      <c r="L29" s="15" t="s">
        <v>867</v>
      </c>
      <c r="M29" s="15" t="s">
        <v>868</v>
      </c>
      <c r="N29" s="36" t="s">
        <v>217</v>
      </c>
      <c r="O29" s="15"/>
    </row>
    <row r="30" customFormat="false" ht="17.35" hidden="false" customHeight="false" outlineLevel="0" collapsed="false">
      <c r="A30" s="15" t="n">
        <v>29</v>
      </c>
      <c r="B30" s="26" t="s">
        <v>1032</v>
      </c>
      <c r="C30" s="15" t="s">
        <v>1033</v>
      </c>
      <c r="D30" s="15" t="n">
        <v>2022</v>
      </c>
      <c r="E30" s="15" t="n">
        <v>2</v>
      </c>
      <c r="F30" s="15" t="s">
        <v>78</v>
      </c>
      <c r="G30" s="27" t="s">
        <v>621</v>
      </c>
      <c r="H30" s="15" t="s">
        <v>1034</v>
      </c>
      <c r="I30" s="15" t="s">
        <v>1035</v>
      </c>
      <c r="J30" s="15" t="s">
        <v>891</v>
      </c>
      <c r="K30" s="15" t="s">
        <v>1036</v>
      </c>
      <c r="L30" s="15" t="s">
        <v>867</v>
      </c>
      <c r="M30" s="15" t="s">
        <v>868</v>
      </c>
      <c r="N30" s="36" t="s">
        <v>217</v>
      </c>
      <c r="O30" s="15"/>
    </row>
    <row r="31" customFormat="false" ht="23.85" hidden="false" customHeight="false" outlineLevel="0" collapsed="false">
      <c r="A31" s="15" t="n">
        <v>30</v>
      </c>
      <c r="B31" s="26" t="s">
        <v>1037</v>
      </c>
      <c r="C31" s="15" t="s">
        <v>1038</v>
      </c>
      <c r="D31" s="15" t="n">
        <v>2023</v>
      </c>
      <c r="E31" s="15" t="n">
        <v>2</v>
      </c>
      <c r="F31" s="15" t="s">
        <v>78</v>
      </c>
      <c r="G31" s="27" t="s">
        <v>1039</v>
      </c>
      <c r="H31" s="15" t="s">
        <v>1040</v>
      </c>
      <c r="I31" s="15" t="s">
        <v>1041</v>
      </c>
      <c r="J31" s="15" t="s">
        <v>989</v>
      </c>
      <c r="K31" s="15" t="s">
        <v>1042</v>
      </c>
      <c r="L31" s="15" t="s">
        <v>867</v>
      </c>
      <c r="M31" s="15" t="s">
        <v>868</v>
      </c>
      <c r="N31" s="36" t="s">
        <v>217</v>
      </c>
      <c r="O31" s="15"/>
    </row>
    <row r="32" customFormat="false" ht="17.35" hidden="false" customHeight="false" outlineLevel="0" collapsed="false">
      <c r="A32" s="15" t="n">
        <v>31</v>
      </c>
      <c r="B32" s="26" t="s">
        <v>1043</v>
      </c>
      <c r="C32" s="15" t="s">
        <v>1044</v>
      </c>
      <c r="D32" s="15" t="n">
        <v>2023</v>
      </c>
      <c r="E32" s="15" t="n">
        <v>2</v>
      </c>
      <c r="F32" s="15" t="s">
        <v>78</v>
      </c>
      <c r="G32" s="27" t="s">
        <v>628</v>
      </c>
      <c r="H32" s="15" t="s">
        <v>1045</v>
      </c>
      <c r="I32" s="15" t="s">
        <v>1046</v>
      </c>
      <c r="J32" s="15" t="s">
        <v>891</v>
      </c>
      <c r="K32" s="15" t="s">
        <v>1047</v>
      </c>
      <c r="L32" s="15" t="s">
        <v>867</v>
      </c>
      <c r="M32" s="15" t="s">
        <v>868</v>
      </c>
      <c r="N32" s="36" t="s">
        <v>217</v>
      </c>
      <c r="O32" s="15"/>
    </row>
    <row r="33" customFormat="false" ht="17.35" hidden="false" customHeight="false" outlineLevel="0" collapsed="false">
      <c r="A33" s="15" t="n">
        <v>32</v>
      </c>
      <c r="B33" s="26" t="s">
        <v>1048</v>
      </c>
      <c r="C33" s="15" t="s">
        <v>1049</v>
      </c>
      <c r="D33" s="15" t="n">
        <v>2024</v>
      </c>
      <c r="E33" s="15" t="n">
        <v>2</v>
      </c>
      <c r="F33" s="15" t="s">
        <v>82</v>
      </c>
      <c r="G33" s="27" t="s">
        <v>726</v>
      </c>
      <c r="H33" s="15" t="s">
        <v>1050</v>
      </c>
      <c r="I33" s="15" t="s">
        <v>1051</v>
      </c>
      <c r="J33" s="15" t="s">
        <v>964</v>
      </c>
      <c r="K33" s="15" t="s">
        <v>867</v>
      </c>
      <c r="L33" s="15" t="s">
        <v>867</v>
      </c>
      <c r="M33" s="15" t="s">
        <v>868</v>
      </c>
      <c r="N33" s="36" t="s">
        <v>217</v>
      </c>
      <c r="O33" s="15"/>
    </row>
    <row r="34" customFormat="false" ht="17.35" hidden="false" customHeight="false" outlineLevel="0" collapsed="false">
      <c r="A34" s="15" t="n">
        <v>33</v>
      </c>
      <c r="B34" s="26" t="s">
        <v>1052</v>
      </c>
      <c r="C34" s="15" t="s">
        <v>1053</v>
      </c>
      <c r="D34" s="15" t="n">
        <v>2020</v>
      </c>
      <c r="E34" s="15" t="n">
        <v>2</v>
      </c>
      <c r="F34" s="15" t="s">
        <v>82</v>
      </c>
      <c r="G34" s="27" t="s">
        <v>1054</v>
      </c>
      <c r="H34" s="15" t="s">
        <v>1055</v>
      </c>
      <c r="I34" s="15" t="s">
        <v>1056</v>
      </c>
      <c r="J34" s="15" t="s">
        <v>1057</v>
      </c>
      <c r="K34" s="15" t="s">
        <v>1058</v>
      </c>
      <c r="L34" s="15" t="s">
        <v>867</v>
      </c>
      <c r="M34" s="15" t="s">
        <v>868</v>
      </c>
      <c r="N34" s="36" t="s">
        <v>217</v>
      </c>
      <c r="O34" s="15"/>
    </row>
    <row r="35" customFormat="false" ht="23.85" hidden="false" customHeight="false" outlineLevel="0" collapsed="false">
      <c r="A35" s="15" t="n">
        <v>34</v>
      </c>
      <c r="B35" s="26" t="s">
        <v>1059</v>
      </c>
      <c r="C35" s="15" t="s">
        <v>1060</v>
      </c>
      <c r="D35" s="15" t="n">
        <v>2021</v>
      </c>
      <c r="E35" s="15" t="n">
        <v>2</v>
      </c>
      <c r="F35" s="15" t="s">
        <v>82</v>
      </c>
      <c r="G35" s="27" t="s">
        <v>730</v>
      </c>
      <c r="H35" s="15" t="s">
        <v>1061</v>
      </c>
      <c r="I35" s="15" t="s">
        <v>1062</v>
      </c>
      <c r="J35" s="15" t="s">
        <v>1063</v>
      </c>
      <c r="K35" s="15" t="s">
        <v>1064</v>
      </c>
      <c r="L35" s="15" t="s">
        <v>1065</v>
      </c>
      <c r="M35" s="15" t="s">
        <v>868</v>
      </c>
      <c r="N35" s="36" t="s">
        <v>217</v>
      </c>
      <c r="O35" s="15"/>
    </row>
    <row r="36" customFormat="false" ht="17.35" hidden="false" customHeight="false" outlineLevel="0" collapsed="false">
      <c r="A36" s="15" t="n">
        <v>35</v>
      </c>
      <c r="B36" s="26" t="s">
        <v>1066</v>
      </c>
      <c r="C36" s="15" t="s">
        <v>1067</v>
      </c>
      <c r="D36" s="15" t="n">
        <v>2023</v>
      </c>
      <c r="E36" s="15" t="n">
        <v>2</v>
      </c>
      <c r="F36" s="15" t="s">
        <v>82</v>
      </c>
      <c r="G36" s="27" t="s">
        <v>1068</v>
      </c>
      <c r="H36" s="15" t="s">
        <v>1069</v>
      </c>
      <c r="I36" s="15" t="s">
        <v>1070</v>
      </c>
      <c r="J36" s="15" t="s">
        <v>964</v>
      </c>
      <c r="K36" s="15" t="s">
        <v>867</v>
      </c>
      <c r="L36" s="15" t="s">
        <v>867</v>
      </c>
      <c r="M36" s="15" t="s">
        <v>868</v>
      </c>
      <c r="N36" s="36" t="s">
        <v>217</v>
      </c>
      <c r="O36" s="15"/>
    </row>
    <row r="37" customFormat="false" ht="23.85" hidden="false" customHeight="false" outlineLevel="0" collapsed="false">
      <c r="A37" s="15" t="n">
        <v>36</v>
      </c>
      <c r="B37" s="26" t="s">
        <v>1071</v>
      </c>
      <c r="C37" s="15" t="s">
        <v>1072</v>
      </c>
      <c r="D37" s="15" t="n">
        <v>2022</v>
      </c>
      <c r="E37" s="15" t="n">
        <v>2</v>
      </c>
      <c r="F37" s="15" t="s">
        <v>82</v>
      </c>
      <c r="G37" s="27" t="s">
        <v>1073</v>
      </c>
      <c r="H37" s="15" t="s">
        <v>1074</v>
      </c>
      <c r="I37" s="15" t="s">
        <v>1075</v>
      </c>
      <c r="J37" s="15" t="s">
        <v>891</v>
      </c>
      <c r="K37" s="15" t="s">
        <v>867</v>
      </c>
      <c r="L37" s="15" t="s">
        <v>867</v>
      </c>
      <c r="M37" s="15" t="s">
        <v>868</v>
      </c>
      <c r="N37" s="36" t="s">
        <v>217</v>
      </c>
      <c r="O37" s="15"/>
    </row>
    <row r="38" customFormat="false" ht="23.85" hidden="false" customHeight="false" outlineLevel="0" collapsed="false">
      <c r="A38" s="15" t="n">
        <v>37</v>
      </c>
      <c r="B38" s="26" t="s">
        <v>1076</v>
      </c>
      <c r="C38" s="15" t="s">
        <v>1077</v>
      </c>
      <c r="D38" s="15" t="n">
        <v>2023</v>
      </c>
      <c r="E38" s="15" t="n">
        <v>2</v>
      </c>
      <c r="F38" s="15" t="s">
        <v>84</v>
      </c>
      <c r="G38" s="27" t="s">
        <v>1078</v>
      </c>
      <c r="H38" s="15" t="s">
        <v>1079</v>
      </c>
      <c r="I38" s="15" t="s">
        <v>1080</v>
      </c>
      <c r="J38" s="15" t="s">
        <v>891</v>
      </c>
      <c r="K38" s="15" t="s">
        <v>1081</v>
      </c>
      <c r="L38" s="15" t="s">
        <v>1082</v>
      </c>
      <c r="M38" s="15" t="s">
        <v>868</v>
      </c>
      <c r="N38" s="36" t="s">
        <v>217</v>
      </c>
      <c r="O38" s="15"/>
    </row>
    <row r="39" customFormat="false" ht="17.35" hidden="false" customHeight="false" outlineLevel="0" collapsed="false">
      <c r="A39" s="15" t="n">
        <v>38</v>
      </c>
      <c r="B39" s="26" t="s">
        <v>1083</v>
      </c>
      <c r="C39" s="15" t="s">
        <v>1084</v>
      </c>
      <c r="D39" s="15" t="n">
        <v>2024</v>
      </c>
      <c r="E39" s="15" t="n">
        <v>2</v>
      </c>
      <c r="F39" s="15" t="s">
        <v>84</v>
      </c>
      <c r="G39" s="27" t="s">
        <v>769</v>
      </c>
      <c r="H39" s="15" t="s">
        <v>1085</v>
      </c>
      <c r="I39" s="15" t="s">
        <v>1086</v>
      </c>
      <c r="J39" s="15" t="s">
        <v>964</v>
      </c>
      <c r="K39" s="15" t="s">
        <v>1087</v>
      </c>
      <c r="L39" s="15" t="s">
        <v>867</v>
      </c>
      <c r="M39" s="15" t="s">
        <v>868</v>
      </c>
      <c r="N39" s="36" t="s">
        <v>217</v>
      </c>
      <c r="O39" s="15"/>
    </row>
    <row r="40" customFormat="false" ht="23.85" hidden="false" customHeight="false" outlineLevel="0" collapsed="false">
      <c r="A40" s="15" t="n">
        <v>39</v>
      </c>
      <c r="B40" s="26" t="s">
        <v>1088</v>
      </c>
      <c r="C40" s="15" t="s">
        <v>1089</v>
      </c>
      <c r="D40" s="15" t="n">
        <v>2020</v>
      </c>
      <c r="E40" s="15" t="n">
        <v>3</v>
      </c>
      <c r="F40" s="15" t="s">
        <v>62</v>
      </c>
      <c r="G40" s="27" t="s">
        <v>291</v>
      </c>
      <c r="H40" s="15" t="s">
        <v>1090</v>
      </c>
      <c r="I40" s="15" t="s">
        <v>1091</v>
      </c>
      <c r="J40" s="15" t="s">
        <v>1092</v>
      </c>
      <c r="K40" s="15" t="s">
        <v>1093</v>
      </c>
      <c r="L40" s="15" t="s">
        <v>1094</v>
      </c>
      <c r="M40" s="15" t="s">
        <v>868</v>
      </c>
      <c r="N40" s="36" t="s">
        <v>217</v>
      </c>
      <c r="O40" s="15"/>
    </row>
    <row r="41" customFormat="false" ht="23.85" hidden="false" customHeight="false" outlineLevel="0" collapsed="false">
      <c r="A41" s="15" t="n">
        <v>40</v>
      </c>
      <c r="B41" s="26" t="s">
        <v>1095</v>
      </c>
      <c r="C41" s="15" t="s">
        <v>1096</v>
      </c>
      <c r="D41" s="15" t="n">
        <v>2021</v>
      </c>
      <c r="E41" s="15" t="n">
        <v>3</v>
      </c>
      <c r="F41" s="15" t="s">
        <v>62</v>
      </c>
      <c r="G41" s="27" t="s">
        <v>301</v>
      </c>
      <c r="H41" s="15" t="s">
        <v>1097</v>
      </c>
      <c r="I41" s="15" t="s">
        <v>1098</v>
      </c>
      <c r="J41" s="15" t="s">
        <v>300</v>
      </c>
      <c r="K41" s="15" t="s">
        <v>1099</v>
      </c>
      <c r="L41" s="15" t="s">
        <v>867</v>
      </c>
      <c r="M41" s="15" t="s">
        <v>868</v>
      </c>
      <c r="N41" s="36" t="s">
        <v>217</v>
      </c>
      <c r="O41" s="15"/>
    </row>
    <row r="42" customFormat="false" ht="17.35" hidden="false" customHeight="false" outlineLevel="0" collapsed="false">
      <c r="A42" s="15" t="n">
        <v>41</v>
      </c>
      <c r="B42" s="26" t="s">
        <v>1100</v>
      </c>
      <c r="C42" s="15" t="s">
        <v>1101</v>
      </c>
      <c r="D42" s="15" t="n">
        <v>2020</v>
      </c>
      <c r="E42" s="15" t="n">
        <v>3</v>
      </c>
      <c r="F42" s="15" t="s">
        <v>66</v>
      </c>
      <c r="G42" s="27" t="s">
        <v>1102</v>
      </c>
      <c r="H42" s="15" t="s">
        <v>1103</v>
      </c>
      <c r="I42" s="15" t="s">
        <v>1104</v>
      </c>
      <c r="J42" s="15" t="s">
        <v>1105</v>
      </c>
      <c r="K42" s="15" t="s">
        <v>867</v>
      </c>
      <c r="L42" s="15" t="s">
        <v>1106</v>
      </c>
      <c r="M42" s="15" t="s">
        <v>868</v>
      </c>
      <c r="N42" s="36" t="s">
        <v>217</v>
      </c>
      <c r="O42" s="15"/>
    </row>
    <row r="43" customFormat="false" ht="23.85" hidden="false" customHeight="false" outlineLevel="0" collapsed="false">
      <c r="A43" s="15" t="n">
        <v>42</v>
      </c>
      <c r="B43" s="26" t="s">
        <v>1107</v>
      </c>
      <c r="C43" s="15" t="s">
        <v>1108</v>
      </c>
      <c r="D43" s="15" t="n">
        <v>2022</v>
      </c>
      <c r="E43" s="15" t="n">
        <v>3</v>
      </c>
      <c r="F43" s="15" t="s">
        <v>66</v>
      </c>
      <c r="G43" s="27" t="s">
        <v>379</v>
      </c>
      <c r="H43" s="15" t="s">
        <v>1109</v>
      </c>
      <c r="I43" s="15" t="s">
        <v>1110</v>
      </c>
      <c r="J43" s="15" t="s">
        <v>1111</v>
      </c>
      <c r="K43" s="15" t="s">
        <v>1112</v>
      </c>
      <c r="L43" s="15" t="s">
        <v>1113</v>
      </c>
      <c r="M43" s="15" t="s">
        <v>868</v>
      </c>
      <c r="N43" s="36" t="s">
        <v>217</v>
      </c>
      <c r="O43" s="15"/>
    </row>
    <row r="44" customFormat="false" ht="17.35" hidden="false" customHeight="false" outlineLevel="0" collapsed="false">
      <c r="A44" s="15" t="n">
        <v>43</v>
      </c>
      <c r="B44" s="26" t="s">
        <v>1114</v>
      </c>
      <c r="C44" s="15" t="s">
        <v>1115</v>
      </c>
      <c r="D44" s="15" t="n">
        <v>2021</v>
      </c>
      <c r="E44" s="15" t="n">
        <v>3</v>
      </c>
      <c r="F44" s="15" t="s">
        <v>66</v>
      </c>
      <c r="G44" s="27" t="s">
        <v>389</v>
      </c>
      <c r="H44" s="15" t="s">
        <v>1116</v>
      </c>
      <c r="I44" s="15" t="s">
        <v>1117</v>
      </c>
      <c r="J44" s="15" t="s">
        <v>1118</v>
      </c>
      <c r="K44" s="15" t="s">
        <v>1119</v>
      </c>
      <c r="L44" s="15" t="s">
        <v>1120</v>
      </c>
      <c r="M44" s="15" t="s">
        <v>868</v>
      </c>
      <c r="N44" s="36" t="s">
        <v>217</v>
      </c>
      <c r="O44" s="15"/>
    </row>
    <row r="45" customFormat="false" ht="23.85" hidden="false" customHeight="false" outlineLevel="0" collapsed="false">
      <c r="A45" s="15" t="n">
        <v>44</v>
      </c>
      <c r="B45" s="26" t="s">
        <v>1121</v>
      </c>
      <c r="C45" s="15" t="s">
        <v>1122</v>
      </c>
      <c r="D45" s="15" t="n">
        <v>2018</v>
      </c>
      <c r="E45" s="15" t="n">
        <v>3</v>
      </c>
      <c r="F45" s="15" t="s">
        <v>68</v>
      </c>
      <c r="G45" s="27" t="s">
        <v>1123</v>
      </c>
      <c r="H45" s="15" t="s">
        <v>1124</v>
      </c>
      <c r="I45" s="15" t="s">
        <v>1125</v>
      </c>
      <c r="J45" s="15" t="s">
        <v>1126</v>
      </c>
      <c r="K45" s="15" t="s">
        <v>1127</v>
      </c>
      <c r="L45" s="15" t="s">
        <v>867</v>
      </c>
      <c r="M45" s="15" t="s">
        <v>868</v>
      </c>
      <c r="N45" s="36" t="s">
        <v>217</v>
      </c>
      <c r="O45" s="15"/>
    </row>
    <row r="46" customFormat="false" ht="17.35" hidden="false" customHeight="false" outlineLevel="0" collapsed="false">
      <c r="A46" s="15" t="n">
        <v>45</v>
      </c>
      <c r="B46" s="26" t="s">
        <v>1128</v>
      </c>
      <c r="C46" s="15" t="s">
        <v>1129</v>
      </c>
      <c r="D46" s="15" t="n">
        <v>2011</v>
      </c>
      <c r="E46" s="15" t="n">
        <v>3</v>
      </c>
      <c r="F46" s="15" t="s">
        <v>68</v>
      </c>
      <c r="G46" s="27" t="s">
        <v>423</v>
      </c>
      <c r="H46" s="15" t="s">
        <v>1130</v>
      </c>
      <c r="I46" s="15" t="s">
        <v>1131</v>
      </c>
      <c r="J46" s="15" t="s">
        <v>1132</v>
      </c>
      <c r="K46" s="15" t="s">
        <v>1133</v>
      </c>
      <c r="L46" s="15" t="s">
        <v>1134</v>
      </c>
      <c r="M46" s="15" t="s">
        <v>868</v>
      </c>
      <c r="N46" s="36" t="s">
        <v>217</v>
      </c>
      <c r="O46" s="15"/>
    </row>
    <row r="47" customFormat="false" ht="23.85" hidden="false" customHeight="false" outlineLevel="0" collapsed="false">
      <c r="A47" s="15" t="n">
        <v>46</v>
      </c>
      <c r="B47" s="26" t="s">
        <v>1135</v>
      </c>
      <c r="C47" s="15" t="s">
        <v>1136</v>
      </c>
      <c r="D47" s="15" t="n">
        <v>2016</v>
      </c>
      <c r="E47" s="15" t="n">
        <v>3</v>
      </c>
      <c r="F47" s="15" t="s">
        <v>68</v>
      </c>
      <c r="G47" s="27" t="s">
        <v>430</v>
      </c>
      <c r="H47" s="15" t="s">
        <v>1137</v>
      </c>
      <c r="I47" s="15" t="s">
        <v>1138</v>
      </c>
      <c r="J47" s="15" t="s">
        <v>1139</v>
      </c>
      <c r="K47" s="15" t="s">
        <v>1140</v>
      </c>
      <c r="L47" s="15" t="s">
        <v>1141</v>
      </c>
      <c r="M47" s="15" t="s">
        <v>868</v>
      </c>
      <c r="N47" s="36" t="s">
        <v>217</v>
      </c>
      <c r="O47" s="15"/>
    </row>
    <row r="48" customFormat="false" ht="17.35" hidden="false" customHeight="false" outlineLevel="0" collapsed="false">
      <c r="A48" s="15" t="n">
        <v>47</v>
      </c>
      <c r="B48" s="26" t="s">
        <v>1142</v>
      </c>
      <c r="C48" s="15" t="s">
        <v>1143</v>
      </c>
      <c r="D48" s="15" t="n">
        <v>2024</v>
      </c>
      <c r="E48" s="15" t="n">
        <v>3</v>
      </c>
      <c r="F48" s="15" t="s">
        <v>68</v>
      </c>
      <c r="G48" s="27" t="s">
        <v>1144</v>
      </c>
      <c r="H48" s="15" t="s">
        <v>1145</v>
      </c>
      <c r="I48" s="15" t="s">
        <v>1146</v>
      </c>
      <c r="J48" s="15" t="s">
        <v>1147</v>
      </c>
      <c r="K48" s="15" t="s">
        <v>867</v>
      </c>
      <c r="L48" s="15" t="s">
        <v>867</v>
      </c>
      <c r="M48" s="15" t="s">
        <v>868</v>
      </c>
      <c r="N48" s="36" t="s">
        <v>217</v>
      </c>
      <c r="O48" s="15"/>
    </row>
    <row r="49" customFormat="false" ht="17.35" hidden="false" customHeight="false" outlineLevel="0" collapsed="false">
      <c r="A49" s="15" t="n">
        <v>48</v>
      </c>
      <c r="B49" s="26" t="s">
        <v>1148</v>
      </c>
      <c r="C49" s="15" t="s">
        <v>1149</v>
      </c>
      <c r="D49" s="15" t="n">
        <v>2020</v>
      </c>
      <c r="E49" s="15" t="n">
        <v>3</v>
      </c>
      <c r="F49" s="15" t="s">
        <v>70</v>
      </c>
      <c r="G49" s="27" t="s">
        <v>465</v>
      </c>
      <c r="H49" s="15" t="s">
        <v>1150</v>
      </c>
      <c r="I49" s="15" t="s">
        <v>1151</v>
      </c>
      <c r="J49" s="15" t="s">
        <v>989</v>
      </c>
      <c r="K49" s="15" t="s">
        <v>1152</v>
      </c>
      <c r="L49" s="15" t="s">
        <v>867</v>
      </c>
      <c r="M49" s="15" t="s">
        <v>868</v>
      </c>
      <c r="N49" s="36" t="s">
        <v>217</v>
      </c>
      <c r="O49" s="15"/>
    </row>
    <row r="50" customFormat="false" ht="23.85" hidden="false" customHeight="false" outlineLevel="0" collapsed="false">
      <c r="A50" s="15" t="n">
        <v>49</v>
      </c>
      <c r="B50" s="26" t="s">
        <v>1153</v>
      </c>
      <c r="C50" s="15" t="s">
        <v>1154</v>
      </c>
      <c r="D50" s="15" t="n">
        <v>2024</v>
      </c>
      <c r="E50" s="15" t="n">
        <v>3</v>
      </c>
      <c r="F50" s="15" t="s">
        <v>70</v>
      </c>
      <c r="G50" s="27" t="s">
        <v>468</v>
      </c>
      <c r="H50" s="15" t="s">
        <v>1155</v>
      </c>
      <c r="I50" s="15" t="s">
        <v>1156</v>
      </c>
      <c r="J50" s="15" t="s">
        <v>964</v>
      </c>
      <c r="K50" s="15" t="s">
        <v>1157</v>
      </c>
      <c r="L50" s="15" t="s">
        <v>867</v>
      </c>
      <c r="M50" s="15" t="s">
        <v>868</v>
      </c>
      <c r="N50" s="36" t="s">
        <v>217</v>
      </c>
      <c r="O50" s="15"/>
    </row>
    <row r="51" customFormat="false" ht="17.35" hidden="false" customHeight="false" outlineLevel="0" collapsed="false">
      <c r="A51" s="15" t="n">
        <v>50</v>
      </c>
      <c r="B51" s="26" t="s">
        <v>1158</v>
      </c>
      <c r="C51" s="15" t="s">
        <v>1159</v>
      </c>
      <c r="D51" s="15" t="n">
        <v>2023</v>
      </c>
      <c r="E51" s="15" t="n">
        <v>3</v>
      </c>
      <c r="F51" s="15" t="s">
        <v>70</v>
      </c>
      <c r="G51" s="27" t="s">
        <v>474</v>
      </c>
      <c r="H51" s="15" t="s">
        <v>1160</v>
      </c>
      <c r="I51" s="15" t="s">
        <v>1161</v>
      </c>
      <c r="J51" s="15" t="s">
        <v>1162</v>
      </c>
      <c r="K51" s="15" t="s">
        <v>867</v>
      </c>
      <c r="L51" s="15" t="s">
        <v>867</v>
      </c>
      <c r="M51" s="15" t="s">
        <v>868</v>
      </c>
      <c r="N51" s="36" t="s">
        <v>217</v>
      </c>
      <c r="O51" s="15"/>
    </row>
    <row r="52" customFormat="false" ht="23.85" hidden="false" customHeight="false" outlineLevel="0" collapsed="false">
      <c r="A52" s="15" t="n">
        <v>51</v>
      </c>
      <c r="B52" s="26" t="s">
        <v>1163</v>
      </c>
      <c r="C52" s="15" t="s">
        <v>1164</v>
      </c>
      <c r="D52" s="15" t="n">
        <v>2024</v>
      </c>
      <c r="E52" s="15" t="n">
        <v>3</v>
      </c>
      <c r="F52" s="15" t="s">
        <v>70</v>
      </c>
      <c r="G52" s="27" t="s">
        <v>471</v>
      </c>
      <c r="H52" s="15" t="s">
        <v>1165</v>
      </c>
      <c r="I52" s="15" t="s">
        <v>1166</v>
      </c>
      <c r="J52" s="15" t="s">
        <v>891</v>
      </c>
      <c r="K52" s="15" t="s">
        <v>1167</v>
      </c>
      <c r="L52" s="15" t="s">
        <v>867</v>
      </c>
      <c r="M52" s="15" t="s">
        <v>868</v>
      </c>
      <c r="N52" s="36" t="s">
        <v>217</v>
      </c>
      <c r="O52" s="15"/>
    </row>
    <row r="53" customFormat="false" ht="23.85" hidden="false" customHeight="false" outlineLevel="0" collapsed="false">
      <c r="A53" s="15" t="n">
        <v>52</v>
      </c>
      <c r="B53" s="26" t="s">
        <v>1168</v>
      </c>
      <c r="C53" s="15" t="s">
        <v>1169</v>
      </c>
      <c r="D53" s="15" t="n">
        <v>2022</v>
      </c>
      <c r="E53" s="15" t="n">
        <v>3</v>
      </c>
      <c r="F53" s="15" t="s">
        <v>74</v>
      </c>
      <c r="G53" s="27" t="s">
        <v>1170</v>
      </c>
      <c r="H53" s="15" t="s">
        <v>1171</v>
      </c>
      <c r="I53" s="15" t="s">
        <v>1172</v>
      </c>
      <c r="J53" s="15" t="s">
        <v>1173</v>
      </c>
      <c r="K53" s="15" t="s">
        <v>1174</v>
      </c>
      <c r="L53" s="15" t="s">
        <v>867</v>
      </c>
      <c r="M53" s="15" t="s">
        <v>868</v>
      </c>
      <c r="N53" s="36" t="s">
        <v>217</v>
      </c>
      <c r="O53" s="15"/>
    </row>
    <row r="54" customFormat="false" ht="23.85" hidden="false" customHeight="false" outlineLevel="0" collapsed="false">
      <c r="A54" s="15" t="n">
        <v>53</v>
      </c>
      <c r="B54" s="26" t="s">
        <v>1175</v>
      </c>
      <c r="C54" s="15" t="s">
        <v>1176</v>
      </c>
      <c r="D54" s="15" t="n">
        <v>2023</v>
      </c>
      <c r="E54" s="15" t="n">
        <v>3</v>
      </c>
      <c r="F54" s="15" t="s">
        <v>74</v>
      </c>
      <c r="G54" s="27" t="s">
        <v>551</v>
      </c>
      <c r="H54" s="15" t="s">
        <v>1177</v>
      </c>
      <c r="I54" s="15" t="s">
        <v>1178</v>
      </c>
      <c r="J54" s="15" t="s">
        <v>989</v>
      </c>
      <c r="K54" s="15" t="s">
        <v>1179</v>
      </c>
      <c r="L54" s="15" t="s">
        <v>867</v>
      </c>
      <c r="M54" s="15" t="s">
        <v>868</v>
      </c>
      <c r="N54" s="36" t="s">
        <v>217</v>
      </c>
      <c r="O54" s="15"/>
    </row>
    <row r="55" customFormat="false" ht="23.85" hidden="false" customHeight="false" outlineLevel="0" collapsed="false">
      <c r="A55" s="15" t="n">
        <v>54</v>
      </c>
      <c r="B55" s="26" t="s">
        <v>1180</v>
      </c>
      <c r="C55" s="15" t="s">
        <v>1181</v>
      </c>
      <c r="D55" s="15" t="n">
        <v>2017</v>
      </c>
      <c r="E55" s="15" t="n">
        <v>3</v>
      </c>
      <c r="F55" s="15" t="s">
        <v>76</v>
      </c>
      <c r="G55" s="27" t="s">
        <v>1182</v>
      </c>
      <c r="H55" s="15" t="s">
        <v>1183</v>
      </c>
      <c r="I55" s="15" t="s">
        <v>1184</v>
      </c>
      <c r="J55" s="15" t="s">
        <v>1185</v>
      </c>
      <c r="K55" s="15" t="s">
        <v>1186</v>
      </c>
      <c r="L55" s="15" t="s">
        <v>867</v>
      </c>
      <c r="M55" s="15" t="s">
        <v>868</v>
      </c>
      <c r="N55" s="36" t="s">
        <v>217</v>
      </c>
      <c r="O55" s="15"/>
    </row>
    <row r="56" customFormat="false" ht="17.35" hidden="false" customHeight="false" outlineLevel="0" collapsed="false">
      <c r="A56" s="15" t="n">
        <v>55</v>
      </c>
      <c r="B56" s="26" t="s">
        <v>1187</v>
      </c>
      <c r="C56" s="15" t="s">
        <v>1188</v>
      </c>
      <c r="D56" s="15" t="n">
        <v>2025</v>
      </c>
      <c r="E56" s="15" t="n">
        <v>3</v>
      </c>
      <c r="F56" s="15" t="s">
        <v>76</v>
      </c>
      <c r="G56" s="27" t="s">
        <v>1189</v>
      </c>
      <c r="H56" s="15" t="s">
        <v>1190</v>
      </c>
      <c r="I56" s="15" t="s">
        <v>1191</v>
      </c>
      <c r="J56" s="15" t="s">
        <v>891</v>
      </c>
      <c r="K56" s="15" t="s">
        <v>867</v>
      </c>
      <c r="L56" s="15" t="s">
        <v>867</v>
      </c>
      <c r="M56" s="15" t="s">
        <v>868</v>
      </c>
      <c r="N56" s="36" t="s">
        <v>217</v>
      </c>
      <c r="O56" s="15"/>
    </row>
    <row r="57" customFormat="false" ht="17.35" hidden="false" customHeight="false" outlineLevel="0" collapsed="false">
      <c r="A57" s="15" t="n">
        <v>56</v>
      </c>
      <c r="B57" s="26" t="s">
        <v>1192</v>
      </c>
      <c r="C57" s="15" t="s">
        <v>1193</v>
      </c>
      <c r="D57" s="15" t="n">
        <v>2024</v>
      </c>
      <c r="E57" s="15" t="n">
        <v>3</v>
      </c>
      <c r="F57" s="15" t="s">
        <v>76</v>
      </c>
      <c r="G57" s="27" t="s">
        <v>1194</v>
      </c>
      <c r="H57" s="15" t="s">
        <v>1195</v>
      </c>
      <c r="I57" s="15" t="s">
        <v>1196</v>
      </c>
      <c r="J57" s="15" t="s">
        <v>1197</v>
      </c>
      <c r="K57" s="15" t="s">
        <v>867</v>
      </c>
      <c r="L57" s="15" t="s">
        <v>867</v>
      </c>
      <c r="M57" s="15" t="s">
        <v>868</v>
      </c>
      <c r="N57" s="36" t="s">
        <v>217</v>
      </c>
      <c r="O57" s="15"/>
    </row>
    <row r="58" customFormat="false" ht="23.85" hidden="false" customHeight="false" outlineLevel="0" collapsed="false">
      <c r="A58" s="15" t="n">
        <v>57</v>
      </c>
      <c r="B58" s="26" t="s">
        <v>1198</v>
      </c>
      <c r="C58" s="15" t="s">
        <v>1199</v>
      </c>
      <c r="D58" s="15" t="n">
        <v>2023</v>
      </c>
      <c r="E58" s="15" t="n">
        <v>3</v>
      </c>
      <c r="F58" s="15" t="s">
        <v>80</v>
      </c>
      <c r="G58" s="27" t="s">
        <v>711</v>
      </c>
      <c r="H58" s="15" t="s">
        <v>1200</v>
      </c>
      <c r="I58" s="15" t="s">
        <v>1201</v>
      </c>
      <c r="J58" s="15" t="s">
        <v>1202</v>
      </c>
      <c r="K58" s="15" t="s">
        <v>867</v>
      </c>
      <c r="L58" s="15" t="s">
        <v>1203</v>
      </c>
      <c r="M58" s="15" t="s">
        <v>868</v>
      </c>
      <c r="N58" s="36" t="s">
        <v>217</v>
      </c>
      <c r="O58" s="15"/>
    </row>
    <row r="59" customFormat="false" ht="17.35" hidden="false" customHeight="false" outlineLevel="0" collapsed="false">
      <c r="A59" s="15" t="n">
        <v>58</v>
      </c>
      <c r="B59" s="26" t="s">
        <v>1204</v>
      </c>
      <c r="C59" s="15" t="s">
        <v>1205</v>
      </c>
      <c r="D59" s="15" t="n">
        <v>2024</v>
      </c>
      <c r="E59" s="15" t="n">
        <v>3</v>
      </c>
      <c r="F59" s="15" t="s">
        <v>80</v>
      </c>
      <c r="G59" s="27" t="s">
        <v>1206</v>
      </c>
      <c r="H59" s="15" t="s">
        <v>1207</v>
      </c>
      <c r="I59" s="15" t="s">
        <v>1208</v>
      </c>
      <c r="J59" s="15" t="s">
        <v>896</v>
      </c>
      <c r="K59" s="15" t="s">
        <v>867</v>
      </c>
      <c r="L59" s="15" t="s">
        <v>867</v>
      </c>
      <c r="M59" s="15" t="s">
        <v>868</v>
      </c>
      <c r="N59" s="36" t="s">
        <v>217</v>
      </c>
      <c r="O59" s="15"/>
    </row>
    <row r="60" customFormat="false" ht="23.85" hidden="false" customHeight="false" outlineLevel="0" collapsed="false">
      <c r="A60" s="15" t="n">
        <v>59</v>
      </c>
      <c r="B60" s="26" t="s">
        <v>1209</v>
      </c>
      <c r="C60" s="15" t="s">
        <v>1210</v>
      </c>
      <c r="D60" s="15" t="n">
        <v>2022</v>
      </c>
      <c r="E60" s="15" t="n">
        <v>3</v>
      </c>
      <c r="F60" s="15" t="s">
        <v>80</v>
      </c>
      <c r="G60" s="27" t="s">
        <v>697</v>
      </c>
      <c r="H60" s="15" t="s">
        <v>1211</v>
      </c>
      <c r="I60" s="15" t="s">
        <v>1212</v>
      </c>
      <c r="J60" s="15" t="s">
        <v>891</v>
      </c>
      <c r="K60" s="15" t="s">
        <v>1213</v>
      </c>
      <c r="L60" s="15" t="s">
        <v>1214</v>
      </c>
      <c r="M60" s="15" t="s">
        <v>868</v>
      </c>
      <c r="N60" s="36" t="s">
        <v>217</v>
      </c>
      <c r="O60" s="15"/>
    </row>
    <row r="61" customFormat="false" ht="17.35" hidden="false" customHeight="false" outlineLevel="0" collapsed="false">
      <c r="A61" s="15" t="n">
        <v>60</v>
      </c>
      <c r="B61" s="26" t="s">
        <v>1215</v>
      </c>
      <c r="C61" s="15" t="s">
        <v>1216</v>
      </c>
      <c r="D61" s="15" t="n">
        <v>2022</v>
      </c>
      <c r="E61" s="15" t="n">
        <v>3</v>
      </c>
      <c r="F61" s="15" t="s">
        <v>80</v>
      </c>
      <c r="G61" s="27" t="s">
        <v>1217</v>
      </c>
      <c r="H61" s="15" t="s">
        <v>1218</v>
      </c>
      <c r="I61" s="15" t="s">
        <v>1219</v>
      </c>
      <c r="J61" s="15" t="s">
        <v>964</v>
      </c>
      <c r="K61" s="15" t="s">
        <v>867</v>
      </c>
      <c r="L61" s="15" t="s">
        <v>867</v>
      </c>
      <c r="M61" s="15" t="s">
        <v>868</v>
      </c>
      <c r="N61" s="36" t="s">
        <v>217</v>
      </c>
      <c r="O61" s="15"/>
    </row>
    <row r="62" customFormat="false" ht="17.35" hidden="false" customHeight="false" outlineLevel="0" collapsed="false">
      <c r="A62" s="15" t="n">
        <v>61</v>
      </c>
      <c r="B62" s="26" t="s">
        <v>1220</v>
      </c>
      <c r="C62" s="15" t="s">
        <v>1221</v>
      </c>
      <c r="D62" s="15" t="n">
        <v>2023</v>
      </c>
      <c r="E62" s="15" t="n">
        <v>3</v>
      </c>
      <c r="F62" s="15" t="s">
        <v>80</v>
      </c>
      <c r="G62" s="27" t="s">
        <v>1222</v>
      </c>
      <c r="H62" s="15" t="s">
        <v>1223</v>
      </c>
      <c r="I62" s="15" t="s">
        <v>1224</v>
      </c>
      <c r="J62" s="15" t="s">
        <v>989</v>
      </c>
      <c r="K62" s="15" t="s">
        <v>867</v>
      </c>
      <c r="L62" s="15" t="s">
        <v>1225</v>
      </c>
      <c r="M62" s="15" t="s">
        <v>868</v>
      </c>
      <c r="N62" s="36" t="s">
        <v>217</v>
      </c>
      <c r="O62" s="15"/>
    </row>
    <row r="63" customFormat="false" ht="23.85" hidden="false" customHeight="false" outlineLevel="0" collapsed="false">
      <c r="A63" s="15" t="n">
        <v>62</v>
      </c>
      <c r="B63" s="26" t="s">
        <v>1226</v>
      </c>
      <c r="C63" s="15" t="s">
        <v>1227</v>
      </c>
      <c r="D63" s="15" t="n">
        <v>2019</v>
      </c>
      <c r="E63" s="15" t="n">
        <v>3</v>
      </c>
      <c r="F63" s="15" t="s">
        <v>82</v>
      </c>
      <c r="G63" s="27" t="s">
        <v>719</v>
      </c>
      <c r="H63" s="15" t="s">
        <v>1228</v>
      </c>
      <c r="I63" s="15" t="s">
        <v>1229</v>
      </c>
      <c r="J63" s="15" t="s">
        <v>1230</v>
      </c>
      <c r="K63" s="15" t="s">
        <v>867</v>
      </c>
      <c r="L63" s="15" t="s">
        <v>1231</v>
      </c>
      <c r="M63" s="15" t="s">
        <v>868</v>
      </c>
      <c r="N63" s="36" t="s">
        <v>217</v>
      </c>
      <c r="O63" s="15"/>
    </row>
    <row r="64" customFormat="false" ht="17.35" hidden="false" customHeight="false" outlineLevel="0" collapsed="false">
      <c r="A64" s="15" t="n">
        <v>63</v>
      </c>
      <c r="B64" s="26" t="s">
        <v>1232</v>
      </c>
      <c r="C64" s="15" t="s">
        <v>1233</v>
      </c>
      <c r="D64" s="15" t="n">
        <v>2019</v>
      </c>
      <c r="E64" s="15" t="n">
        <v>3</v>
      </c>
      <c r="F64" s="15" t="s">
        <v>82</v>
      </c>
      <c r="G64" s="27" t="s">
        <v>1234</v>
      </c>
      <c r="H64" s="15" t="s">
        <v>1235</v>
      </c>
      <c r="I64" s="15" t="s">
        <v>1236</v>
      </c>
      <c r="J64" s="15" t="s">
        <v>989</v>
      </c>
      <c r="K64" s="15" t="s">
        <v>867</v>
      </c>
      <c r="L64" s="15" t="s">
        <v>867</v>
      </c>
      <c r="M64" s="15" t="s">
        <v>868</v>
      </c>
      <c r="N64" s="36" t="s">
        <v>217</v>
      </c>
      <c r="O64" s="15"/>
    </row>
    <row r="65" customFormat="false" ht="17.35" hidden="false" customHeight="false" outlineLevel="0" collapsed="false">
      <c r="A65" s="15" t="n">
        <v>64</v>
      </c>
      <c r="B65" s="26" t="s">
        <v>1237</v>
      </c>
      <c r="C65" s="15" t="s">
        <v>1238</v>
      </c>
      <c r="D65" s="15" t="n">
        <v>2024</v>
      </c>
      <c r="E65" s="15" t="n">
        <v>3</v>
      </c>
      <c r="F65" s="15" t="s">
        <v>82</v>
      </c>
      <c r="G65" s="27" t="s">
        <v>745</v>
      </c>
      <c r="H65" s="15" t="s">
        <v>1239</v>
      </c>
      <c r="I65" s="15" t="s">
        <v>1240</v>
      </c>
      <c r="J65" s="15" t="s">
        <v>964</v>
      </c>
      <c r="K65" s="15" t="s">
        <v>1241</v>
      </c>
      <c r="L65" s="15" t="s">
        <v>867</v>
      </c>
      <c r="M65" s="15" t="s">
        <v>868</v>
      </c>
      <c r="N65" s="36" t="s">
        <v>217</v>
      </c>
      <c r="O65" s="15"/>
    </row>
    <row r="66" customFormat="false" ht="23.85" hidden="false" customHeight="false" outlineLevel="0" collapsed="false">
      <c r="A66" s="15" t="n">
        <v>65</v>
      </c>
      <c r="B66" s="26" t="s">
        <v>1242</v>
      </c>
      <c r="C66" s="15" t="s">
        <v>1243</v>
      </c>
      <c r="D66" s="15" t="n">
        <v>2017</v>
      </c>
      <c r="E66" s="15" t="n">
        <v>4</v>
      </c>
      <c r="F66" s="15" t="s">
        <v>76</v>
      </c>
      <c r="G66" s="27" t="s">
        <v>577</v>
      </c>
      <c r="H66" s="15" t="s">
        <v>1244</v>
      </c>
      <c r="I66" s="15" t="s">
        <v>1245</v>
      </c>
      <c r="J66" s="15" t="s">
        <v>1246</v>
      </c>
      <c r="K66" s="15" t="s">
        <v>1247</v>
      </c>
      <c r="L66" s="15" t="s">
        <v>867</v>
      </c>
      <c r="M66" s="15" t="s">
        <v>868</v>
      </c>
      <c r="N66" s="36" t="s">
        <v>217</v>
      </c>
      <c r="O66" s="15"/>
    </row>
    <row r="67" customFormat="false" ht="23.85" hidden="false" customHeight="false" outlineLevel="0" collapsed="false">
      <c r="A67" s="15" t="n">
        <v>66</v>
      </c>
      <c r="B67" s="26" t="s">
        <v>1248</v>
      </c>
      <c r="C67" s="15" t="s">
        <v>1249</v>
      </c>
      <c r="D67" s="15" t="n">
        <v>2023</v>
      </c>
      <c r="E67" s="15" t="n">
        <v>4</v>
      </c>
      <c r="F67" s="15" t="s">
        <v>76</v>
      </c>
      <c r="G67" s="27" t="s">
        <v>591</v>
      </c>
      <c r="H67" s="15" t="s">
        <v>1250</v>
      </c>
      <c r="I67" s="15" t="s">
        <v>1251</v>
      </c>
      <c r="J67" s="15" t="s">
        <v>1252</v>
      </c>
      <c r="K67" s="15" t="s">
        <v>1253</v>
      </c>
      <c r="L67" s="15" t="s">
        <v>1254</v>
      </c>
      <c r="M67" s="15" t="s">
        <v>868</v>
      </c>
      <c r="N67" s="36" t="s">
        <v>217</v>
      </c>
      <c r="O67" s="15"/>
    </row>
    <row r="68" customFormat="false" ht="17.35" hidden="false" customHeight="false" outlineLevel="0" collapsed="false">
      <c r="A68" s="15" t="n">
        <v>67</v>
      </c>
      <c r="B68" s="26" t="s">
        <v>1255</v>
      </c>
      <c r="C68" s="15" t="s">
        <v>1256</v>
      </c>
      <c r="D68" s="15" t="n">
        <v>2024</v>
      </c>
      <c r="E68" s="15" t="n">
        <v>4</v>
      </c>
      <c r="F68" s="15" t="s">
        <v>76</v>
      </c>
      <c r="G68" s="27" t="s">
        <v>595</v>
      </c>
      <c r="H68" s="15" t="s">
        <v>1257</v>
      </c>
      <c r="I68" s="15" t="s">
        <v>1258</v>
      </c>
      <c r="J68" s="15" t="s">
        <v>1259</v>
      </c>
      <c r="K68" s="15" t="s">
        <v>1260</v>
      </c>
      <c r="L68" s="15" t="s">
        <v>867</v>
      </c>
      <c r="M68" s="15" t="s">
        <v>868</v>
      </c>
      <c r="N68" s="36" t="s">
        <v>217</v>
      </c>
      <c r="O68" s="15"/>
    </row>
    <row r="69" customFormat="false" ht="23.85" hidden="false" customHeight="false" outlineLevel="0" collapsed="false">
      <c r="A69" s="15" t="n">
        <v>68</v>
      </c>
      <c r="B69" s="26" t="s">
        <v>1261</v>
      </c>
      <c r="C69" s="15" t="s">
        <v>1262</v>
      </c>
      <c r="D69" s="15" t="n">
        <v>2025</v>
      </c>
      <c r="E69" s="15" t="n">
        <v>4</v>
      </c>
      <c r="F69" s="15" t="s">
        <v>76</v>
      </c>
      <c r="G69" s="27" t="s">
        <v>603</v>
      </c>
      <c r="H69" s="15" t="s">
        <v>1263</v>
      </c>
      <c r="I69" s="15" t="s">
        <v>1264</v>
      </c>
      <c r="J69" s="15" t="s">
        <v>891</v>
      </c>
      <c r="K69" s="15" t="s">
        <v>1265</v>
      </c>
      <c r="L69" s="15" t="s">
        <v>1266</v>
      </c>
      <c r="M69" s="15" t="s">
        <v>868</v>
      </c>
      <c r="N69" s="36" t="s">
        <v>217</v>
      </c>
      <c r="O69" s="15"/>
    </row>
    <row r="70" customFormat="false" ht="23.85" hidden="false" customHeight="false" outlineLevel="0" collapsed="false">
      <c r="A70" s="15" t="n">
        <v>69</v>
      </c>
      <c r="B70" s="26" t="s">
        <v>1267</v>
      </c>
      <c r="C70" s="15" t="s">
        <v>1268</v>
      </c>
      <c r="D70" s="15" t="n">
        <v>2025</v>
      </c>
      <c r="E70" s="15" t="n">
        <v>4</v>
      </c>
      <c r="F70" s="15" t="s">
        <v>76</v>
      </c>
      <c r="G70" s="27" t="s">
        <v>1269</v>
      </c>
      <c r="H70" s="15" t="s">
        <v>1270</v>
      </c>
      <c r="I70" s="15" t="s">
        <v>1271</v>
      </c>
      <c r="J70" s="15" t="s">
        <v>989</v>
      </c>
      <c r="K70" s="15" t="s">
        <v>1272</v>
      </c>
      <c r="L70" s="15" t="s">
        <v>867</v>
      </c>
      <c r="M70" s="15" t="s">
        <v>868</v>
      </c>
      <c r="N70" s="36" t="s">
        <v>217</v>
      </c>
      <c r="O70" s="15"/>
    </row>
    <row r="71" customFormat="false" ht="23.85" hidden="false" customHeight="false" outlineLevel="0" collapsed="false">
      <c r="A71" s="15" t="n">
        <v>70</v>
      </c>
      <c r="B71" s="26" t="s">
        <v>680</v>
      </c>
      <c r="C71" s="15" t="s">
        <v>1273</v>
      </c>
      <c r="D71" s="15" t="n">
        <v>2022</v>
      </c>
      <c r="E71" s="15" t="n">
        <v>4</v>
      </c>
      <c r="F71" s="15" t="s">
        <v>80</v>
      </c>
      <c r="G71" s="27" t="s">
        <v>682</v>
      </c>
      <c r="H71" s="15" t="s">
        <v>1274</v>
      </c>
      <c r="I71" s="15" t="s">
        <v>1275</v>
      </c>
      <c r="J71" s="15" t="s">
        <v>1276</v>
      </c>
      <c r="K71" s="15" t="s">
        <v>1277</v>
      </c>
      <c r="L71" s="15" t="s">
        <v>1278</v>
      </c>
      <c r="M71" s="15" t="s">
        <v>868</v>
      </c>
      <c r="N71" s="36" t="s">
        <v>217</v>
      </c>
      <c r="O71" s="15"/>
    </row>
    <row r="72" customFormat="false" ht="17.35" hidden="false" customHeight="false" outlineLevel="0" collapsed="false">
      <c r="A72" s="15" t="n">
        <v>71</v>
      </c>
      <c r="B72" s="26" t="s">
        <v>1279</v>
      </c>
      <c r="C72" s="15" t="s">
        <v>1280</v>
      </c>
      <c r="D72" s="15" t="n">
        <v>2022</v>
      </c>
      <c r="E72" s="15" t="n">
        <v>4</v>
      </c>
      <c r="F72" s="15" t="s">
        <v>80</v>
      </c>
      <c r="G72" s="27" t="s">
        <v>1281</v>
      </c>
      <c r="H72" s="15" t="s">
        <v>1282</v>
      </c>
      <c r="I72" s="15" t="s">
        <v>1283</v>
      </c>
      <c r="J72" s="15" t="s">
        <v>1284</v>
      </c>
      <c r="K72" s="15" t="s">
        <v>867</v>
      </c>
      <c r="L72" s="15" t="s">
        <v>867</v>
      </c>
      <c r="M72" s="15" t="s">
        <v>868</v>
      </c>
      <c r="N72" s="36" t="s">
        <v>217</v>
      </c>
      <c r="O72" s="15"/>
    </row>
    <row r="73" customFormat="false" ht="17.35" hidden="false" customHeight="false" outlineLevel="0" collapsed="false">
      <c r="A73" s="15" t="n">
        <v>72</v>
      </c>
      <c r="B73" s="26" t="s">
        <v>1285</v>
      </c>
      <c r="C73" s="15" t="s">
        <v>1286</v>
      </c>
      <c r="D73" s="15" t="n">
        <v>2018</v>
      </c>
      <c r="E73" s="15" t="n">
        <v>3</v>
      </c>
      <c r="F73" s="15" t="s">
        <v>1287</v>
      </c>
      <c r="G73" s="27" t="s">
        <v>1288</v>
      </c>
      <c r="H73" s="15" t="s">
        <v>1289</v>
      </c>
      <c r="I73" s="15" t="s">
        <v>1290</v>
      </c>
      <c r="J73" s="15" t="s">
        <v>958</v>
      </c>
      <c r="K73" s="15" t="s">
        <v>867</v>
      </c>
      <c r="L73" s="15" t="s">
        <v>867</v>
      </c>
      <c r="M73" s="15" t="s">
        <v>1291</v>
      </c>
      <c r="N73" s="36" t="s">
        <v>217</v>
      </c>
      <c r="O73" s="15"/>
    </row>
    <row r="74" customFormat="false" ht="17.35" hidden="false" customHeight="false" outlineLevel="0" collapsed="false">
      <c r="A74" s="15" t="n">
        <v>73</v>
      </c>
      <c r="B74" s="26" t="s">
        <v>1292</v>
      </c>
      <c r="C74" s="15" t="s">
        <v>1293</v>
      </c>
      <c r="D74" s="15" t="n">
        <v>2023</v>
      </c>
      <c r="E74" s="15" t="n">
        <v>3</v>
      </c>
      <c r="F74" s="15" t="s">
        <v>1287</v>
      </c>
      <c r="G74" s="27" t="s">
        <v>1294</v>
      </c>
      <c r="H74" s="15" t="s">
        <v>1295</v>
      </c>
      <c r="I74" s="15" t="s">
        <v>1296</v>
      </c>
      <c r="J74" s="15" t="s">
        <v>896</v>
      </c>
      <c r="K74" s="15" t="s">
        <v>867</v>
      </c>
      <c r="L74" s="15" t="s">
        <v>867</v>
      </c>
      <c r="M74" s="15" t="s">
        <v>1291</v>
      </c>
      <c r="N74" s="36" t="s">
        <v>217</v>
      </c>
      <c r="O74" s="15"/>
    </row>
    <row r="75" customFormat="false" ht="17.35" hidden="false" customHeight="false" outlineLevel="0" collapsed="false">
      <c r="A75" s="15" t="n">
        <v>74</v>
      </c>
      <c r="B75" s="26" t="s">
        <v>1297</v>
      </c>
      <c r="C75" s="15" t="s">
        <v>1298</v>
      </c>
      <c r="D75" s="15" t="n">
        <v>2022</v>
      </c>
      <c r="E75" s="15" t="n">
        <v>3</v>
      </c>
      <c r="F75" s="15" t="s">
        <v>1287</v>
      </c>
      <c r="G75" s="27" t="s">
        <v>1299</v>
      </c>
      <c r="H75" s="15" t="s">
        <v>1300</v>
      </c>
      <c r="I75" s="15" t="s">
        <v>1301</v>
      </c>
      <c r="J75" s="15" t="s">
        <v>964</v>
      </c>
      <c r="K75" s="15" t="s">
        <v>867</v>
      </c>
      <c r="L75" s="15" t="s">
        <v>867</v>
      </c>
      <c r="M75" s="15" t="s">
        <v>1291</v>
      </c>
      <c r="N75" s="36" t="s">
        <v>217</v>
      </c>
      <c r="O75" s="15"/>
    </row>
    <row r="76" customFormat="false" ht="17.35" hidden="false" customHeight="false" outlineLevel="0" collapsed="false">
      <c r="A76" s="15" t="n">
        <v>75</v>
      </c>
      <c r="B76" s="26" t="s">
        <v>1302</v>
      </c>
      <c r="C76" s="15" t="s">
        <v>1303</v>
      </c>
      <c r="D76" s="15" t="n">
        <v>2024</v>
      </c>
      <c r="E76" s="15" t="n">
        <v>3</v>
      </c>
      <c r="F76" s="15" t="s">
        <v>1287</v>
      </c>
      <c r="G76" s="27" t="s">
        <v>1304</v>
      </c>
      <c r="H76" s="15" t="s">
        <v>1305</v>
      </c>
      <c r="I76" s="15" t="s">
        <v>1306</v>
      </c>
      <c r="J76" s="15" t="s">
        <v>964</v>
      </c>
      <c r="K76" s="15" t="s">
        <v>867</v>
      </c>
      <c r="L76" s="15" t="s">
        <v>867</v>
      </c>
      <c r="M76" s="15" t="s">
        <v>1291</v>
      </c>
      <c r="N76" s="36" t="s">
        <v>217</v>
      </c>
      <c r="O76" s="15"/>
    </row>
    <row r="77" customFormat="false" ht="17.35" hidden="false" customHeight="false" outlineLevel="0" collapsed="false">
      <c r="A77" s="15" t="n">
        <v>76</v>
      </c>
      <c r="B77" s="26" t="s">
        <v>1307</v>
      </c>
      <c r="C77" s="15" t="s">
        <v>1308</v>
      </c>
      <c r="D77" s="15" t="n">
        <v>2025</v>
      </c>
      <c r="E77" s="15" t="n">
        <v>3</v>
      </c>
      <c r="F77" s="15" t="s">
        <v>1287</v>
      </c>
      <c r="G77" s="27" t="s">
        <v>1309</v>
      </c>
      <c r="H77" s="15" t="s">
        <v>1310</v>
      </c>
      <c r="I77" s="15" t="s">
        <v>1311</v>
      </c>
      <c r="J77" s="15" t="s">
        <v>1312</v>
      </c>
      <c r="K77" s="15" t="s">
        <v>867</v>
      </c>
      <c r="L77" s="15" t="s">
        <v>867</v>
      </c>
      <c r="M77" s="15" t="s">
        <v>1291</v>
      </c>
      <c r="N77" s="36" t="s">
        <v>217</v>
      </c>
      <c r="O77" s="15"/>
    </row>
    <row r="78" customFormat="false" ht="17.35" hidden="false" customHeight="false" outlineLevel="0" collapsed="false">
      <c r="A78" s="15" t="n">
        <v>77</v>
      </c>
      <c r="B78" s="26" t="s">
        <v>1313</v>
      </c>
      <c r="C78" s="15" t="s">
        <v>1314</v>
      </c>
      <c r="D78" s="15" t="n">
        <v>2021</v>
      </c>
      <c r="E78" s="15" t="n">
        <v>3</v>
      </c>
      <c r="F78" s="15" t="s">
        <v>1287</v>
      </c>
      <c r="G78" s="27" t="s">
        <v>1315</v>
      </c>
      <c r="H78" s="15" t="s">
        <v>1316</v>
      </c>
      <c r="I78" s="15" t="s">
        <v>1317</v>
      </c>
      <c r="J78" s="15" t="s">
        <v>989</v>
      </c>
      <c r="K78" s="15" t="s">
        <v>867</v>
      </c>
      <c r="L78" s="15" t="s">
        <v>867</v>
      </c>
      <c r="M78" s="15" t="s">
        <v>1291</v>
      </c>
      <c r="N78" s="36" t="s">
        <v>217</v>
      </c>
      <c r="O78" s="15"/>
    </row>
    <row r="79" customFormat="false" ht="17.35" hidden="false" customHeight="false" outlineLevel="0" collapsed="false">
      <c r="A79" s="15" t="n">
        <v>78</v>
      </c>
      <c r="B79" s="26" t="s">
        <v>1318</v>
      </c>
      <c r="C79" s="15" t="s">
        <v>1319</v>
      </c>
      <c r="D79" s="15" t="n">
        <v>2023</v>
      </c>
      <c r="E79" s="15" t="n">
        <v>3</v>
      </c>
      <c r="F79" s="15" t="s">
        <v>1287</v>
      </c>
      <c r="G79" s="27" t="s">
        <v>1320</v>
      </c>
      <c r="H79" s="15" t="s">
        <v>1321</v>
      </c>
      <c r="I79" s="15" t="s">
        <v>1322</v>
      </c>
      <c r="J79" s="15" t="s">
        <v>891</v>
      </c>
      <c r="K79" s="15" t="s">
        <v>867</v>
      </c>
      <c r="L79" s="15" t="s">
        <v>867</v>
      </c>
      <c r="M79" s="15" t="s">
        <v>1291</v>
      </c>
      <c r="N79" s="36" t="s">
        <v>217</v>
      </c>
      <c r="O79" s="15"/>
    </row>
    <row r="80" customFormat="false" ht="17.35" hidden="false" customHeight="false" outlineLevel="0" collapsed="false">
      <c r="A80" s="15" t="n">
        <v>79</v>
      </c>
      <c r="B80" s="26" t="s">
        <v>1323</v>
      </c>
      <c r="C80" s="15" t="s">
        <v>1324</v>
      </c>
      <c r="D80" s="15" t="n">
        <v>2023</v>
      </c>
      <c r="E80" s="15" t="n">
        <v>4</v>
      </c>
      <c r="F80" s="15" t="s">
        <v>1287</v>
      </c>
      <c r="G80" s="27" t="s">
        <v>1325</v>
      </c>
      <c r="H80" s="15" t="s">
        <v>1326</v>
      </c>
      <c r="I80" s="15" t="s">
        <v>1327</v>
      </c>
      <c r="J80" s="15" t="s">
        <v>964</v>
      </c>
      <c r="K80" s="15" t="s">
        <v>1328</v>
      </c>
      <c r="L80" s="15" t="s">
        <v>867</v>
      </c>
      <c r="M80" s="15" t="s">
        <v>1291</v>
      </c>
      <c r="N80" s="36" t="s">
        <v>217</v>
      </c>
      <c r="O80" s="15"/>
    </row>
    <row r="81" customFormat="false" ht="17.35" hidden="false" customHeight="false" outlineLevel="0" collapsed="false">
      <c r="A81" s="15" t="n">
        <v>80</v>
      </c>
      <c r="B81" s="26" t="s">
        <v>1329</v>
      </c>
      <c r="C81" s="15" t="s">
        <v>1330</v>
      </c>
      <c r="D81" s="15" t="n">
        <v>2015</v>
      </c>
      <c r="E81" s="15" t="n">
        <v>4</v>
      </c>
      <c r="F81" s="15" t="s">
        <v>1287</v>
      </c>
      <c r="G81" s="27" t="s">
        <v>1331</v>
      </c>
      <c r="H81" s="15" t="s">
        <v>1332</v>
      </c>
      <c r="I81" s="15" t="s">
        <v>1333</v>
      </c>
      <c r="J81" s="15" t="s">
        <v>964</v>
      </c>
      <c r="K81" s="15" t="s">
        <v>1334</v>
      </c>
      <c r="L81" s="15" t="s">
        <v>867</v>
      </c>
      <c r="M81" s="15" t="s">
        <v>1291</v>
      </c>
      <c r="N81" s="36" t="s">
        <v>217</v>
      </c>
      <c r="O81" s="15"/>
    </row>
    <row r="82" customFormat="false" ht="23.85" hidden="false" customHeight="false" outlineLevel="0" collapsed="false">
      <c r="A82" s="15" t="n">
        <v>81</v>
      </c>
      <c r="B82" s="26" t="s">
        <v>1335</v>
      </c>
      <c r="C82" s="15" t="s">
        <v>1188</v>
      </c>
      <c r="D82" s="15" t="n">
        <v>2024</v>
      </c>
      <c r="E82" s="15" t="n">
        <v>4</v>
      </c>
      <c r="F82" s="15" t="s">
        <v>1287</v>
      </c>
      <c r="G82" s="27" t="s">
        <v>1336</v>
      </c>
      <c r="H82" s="15" t="s">
        <v>1337</v>
      </c>
      <c r="I82" s="15" t="s">
        <v>1338</v>
      </c>
      <c r="J82" s="15" t="s">
        <v>891</v>
      </c>
      <c r="K82" s="15" t="s">
        <v>867</v>
      </c>
      <c r="L82" s="15" t="s">
        <v>867</v>
      </c>
      <c r="M82" s="15" t="s">
        <v>1291</v>
      </c>
      <c r="N82" s="36" t="s">
        <v>217</v>
      </c>
      <c r="O82" s="15"/>
    </row>
  </sheetData>
  <autoFilter ref="A1:O82"/>
  <conditionalFormatting sqref="A2:O82">
    <cfRule type="expression" priority="2" aboveAverage="0" equalAverage="0" bottom="0" percent="0" rank="0" text="" dxfId="6">
      <formula>OR($N2="☑",$N2=1)</formula>
    </cfRule>
  </conditionalFormatting>
  <dataValidations count="1">
    <dataValidation allowBlank="false" errorStyle="stop" operator="between" showDropDown="false" showErrorMessage="false" showInputMessage="false" sqref="N2:N82" type="list">
      <formula1>"☐,☑"</formula1>
      <formula2>0</formula2>
    </dataValidation>
  </dataValidations>
  <hyperlinks>
    <hyperlink ref="G2" r:id="rId1" display="http://ccr.sigcomm.org/online/files/p83-keshavA.pdf"/>
    <hyperlink ref="G3" r:id="rId2" display="https://cdn.openai.com/research-covers/language-unsupervised/language_understanding_paper.pdf"/>
    <hyperlink ref="G4" r:id="rId3" display="https://arxiv.org/abs/2002.05202"/>
    <hyperlink ref="G5" r:id="rId4" display="https://arxiv.org/abs/1508.07909"/>
    <hyperlink ref="G6" r:id="rId5" display="https://arxiv.org/abs/1808.06226"/>
    <hyperlink ref="G7" r:id="rId6" display="https://arxiv.org/abs/2307.03172"/>
    <hyperlink ref="G8" r:id="rId7" display="https://arxiv.org/abs/2201.11903"/>
    <hyperlink ref="G9" r:id="rId8" display="https://arxiv.org/abs/1706.03762"/>
    <hyperlink ref="G10" r:id="rId9" display="https://arxiv.org/abs/1810.04805"/>
    <hyperlink ref="G11" r:id="rId10" display="https://cdn.openai.com/better-language-models/language_models_are_unsupervised_multitask_learners.pdf"/>
    <hyperlink ref="G12" r:id="rId11" display="https://arxiv.org/abs/1910.07467"/>
    <hyperlink ref="G13" r:id="rId12" display="https://arxiv.org/abs/1911.02150"/>
    <hyperlink ref="G14" r:id="rId13" display="https://arxiv.org/abs/2305.13245"/>
    <hyperlink ref="G15" r:id="rId14" display="https://arxiv.org/abs/2005.14165"/>
    <hyperlink ref="G16" r:id="rId15" display="https://arxiv.org/abs/1904.09751"/>
    <hyperlink ref="G17" r:id="rId16" display="https://arxiv.org/abs/2401.04088"/>
    <hyperlink ref="G18" r:id="rId17" display="https://arxiv.org/abs/1908.10084"/>
    <hyperlink ref="G19" r:id="rId18" display="https://arxiv.org/abs/2004.04906"/>
    <hyperlink ref="G20" r:id="rId19" display="https://arxiv.org/abs/2104.08663"/>
    <hyperlink ref="G21" r:id="rId20" display="https://arxiv.org/abs/2005.11401"/>
    <hyperlink ref="G22" r:id="rId21" display="https://arxiv.org/abs/2212.10496"/>
    <hyperlink ref="G23" r:id="rId22" display="https://arxiv.org/abs/2306.05685"/>
    <hyperlink ref="G24" r:id="rId23" display="https://arxiv.org/abs/2303.16634"/>
    <hyperlink ref="G25" r:id="rId24" display="https://arxiv.org/abs/2309.15217"/>
    <hyperlink ref="G26" r:id="rId25" display="https://arxiv.org/abs/2404.12272"/>
    <hyperlink ref="G27" r:id="rId26" display="https://arxiv.org/abs/2406.12045"/>
    <hyperlink ref="G28" r:id="rId27" display="https://arxiv.org/abs/2106.09685"/>
    <hyperlink ref="G29" r:id="rId28" display="https://arxiv.org/abs/2501.19393"/>
    <hyperlink ref="G30" r:id="rId29" display="https://arxiv.org/abs/2210.03629"/>
    <hyperlink ref="G31" r:id="rId30" display="https://arxiv.org/abs/2303.11366"/>
    <hyperlink ref="G32" r:id="rId31" display="https://arxiv.org/abs/2310.08560"/>
    <hyperlink ref="G33" r:id="rId32" display="https://arxiv.org/abs/2406.17557"/>
    <hyperlink ref="G34" r:id="rId33" display="https://arxiv.org/abs/2010.11929"/>
    <hyperlink ref="G35" r:id="rId34" display="https://arxiv.org/abs/2103.00020"/>
    <hyperlink ref="G36" r:id="rId35" display="https://arxiv.org/abs/2304.08485"/>
    <hyperlink ref="G37" r:id="rId36" display="https://arxiv.org/abs/2212.04356"/>
    <hyperlink ref="G38" r:id="rId37" display="https://arxiv.org/abs/2310.06770"/>
    <hyperlink ref="G39" r:id="rId38" display="https://arxiv.org/abs/2406.18665"/>
    <hyperlink ref="G40" r:id="rId39" display="https://arxiv.org/abs/2002.04745"/>
    <hyperlink ref="G41" r:id="rId40" display="https://arxiv.org/abs/2104.09864"/>
    <hyperlink ref="G42" r:id="rId41" display="https://arxiv.org/abs/2001.08361"/>
    <hyperlink ref="G43" r:id="rId42" display="https://arxiv.org/abs/2203.15556"/>
    <hyperlink ref="G44" r:id="rId43" display="https://arxiv.org/abs/2101.03961"/>
    <hyperlink ref="G45" r:id="rId44" display="https://arxiv.org/abs/1807.03748"/>
    <hyperlink ref="G46" r:id="rId45" display="https://doi.org/10.1109/TPAMI.2010.57"/>
    <hyperlink ref="G47" r:id="rId46" display="https://arxiv.org/abs/1603.09320"/>
    <hyperlink ref="G48" r:id="rId47" display="https://arxiv.org/abs/2401.08281"/>
    <hyperlink ref="G49" r:id="rId48" display="https://arxiv.org/abs/2004.12832"/>
    <hyperlink ref="G50" r:id="rId49" display="https://arxiv.org/abs/2402.03216"/>
    <hyperlink ref="G51" r:id="rId50" display="https://arxiv.org/abs/2310.11511"/>
    <hyperlink ref="G52" r:id="rId51" display="https://arxiv.org/abs/2404.16130"/>
    <hyperlink ref="G53" r:id="rId52" display="https://arxiv.org/abs/2203.02155"/>
    <hyperlink ref="G54" r:id="rId53" display="https://arxiv.org/abs/2305.14314"/>
    <hyperlink ref="G55" r:id="rId54" display="https://arxiv.org/abs/1706.03741"/>
    <hyperlink ref="G56" r:id="rId55" display="https://arxiv.org/abs/2501.12948"/>
    <hyperlink ref="G57" r:id="rId56" display="https://arxiv.org/abs/2411.15124"/>
    <hyperlink ref="G58" r:id="rId57" display="https://arxiv.org/abs/2309.06180"/>
    <hyperlink ref="G59" r:id="rId58" display="https://arxiv.org/abs/2403.02310"/>
    <hyperlink ref="G60" r:id="rId59" display="https://arxiv.org/abs/2211.17192"/>
    <hyperlink ref="G61" r:id="rId60" display="https://arxiv.org/abs/2208.07339"/>
    <hyperlink ref="G62" r:id="rId61" display="https://arxiv.org/abs/2306.00978"/>
    <hyperlink ref="G63" r:id="rId62" display="https://arxiv.org/abs/1910.02054"/>
    <hyperlink ref="G64" r:id="rId63" display="https://arxiv.org/abs/1909.08053"/>
    <hyperlink ref="G65" r:id="rId64" display="https://arxiv.org/abs/2407.01449"/>
    <hyperlink ref="G66" r:id="rId65" display="https://arxiv.org/abs/1707.06347"/>
    <hyperlink ref="G67" r:id="rId66" display="https://arxiv.org/abs/2305.18290"/>
    <hyperlink ref="G68" r:id="rId67" display="https://arxiv.org/abs/2402.03300"/>
    <hyperlink ref="G69" r:id="rId68" display="https://arxiv.org/abs/2503.20783"/>
    <hyperlink ref="G70" r:id="rId69" display="https://arxiv.org/abs/2503.14476"/>
    <hyperlink ref="G71" r:id="rId70" display="https://arxiv.org/abs/2205.14135"/>
    <hyperlink ref="G72" r:id="rId71" display="https://arxiv.org/abs/2210.17323"/>
    <hyperlink ref="G73" r:id="rId72" display="https://arxiv.org/abs/1811.06965"/>
    <hyperlink ref="G74" r:id="rId73" display="https://arxiv.org/abs/2305.20050"/>
    <hyperlink ref="G75" r:id="rId74" display="https://arxiv.org/abs/2212.08073"/>
    <hyperlink ref="G76" r:id="rId75" display="https://arxiv.org/abs/2401.06066"/>
    <hyperlink ref="G77" r:id="rId76" display="https://arxiv.org/abs/2505.09388"/>
    <hyperlink ref="G78" r:id="rId77" display="https://arxiv.org/abs/2112.01488"/>
    <hyperlink ref="G79" r:id="rId78" display="https://arxiv.org/abs/2303.15343"/>
    <hyperlink ref="G80" r:id="rId79" display="https://arxiv.org/abs/2307.08691"/>
    <hyperlink ref="G81" r:id="rId80" display="https://arxiv.org/abs/1506.02438"/>
    <hyperlink ref="G82" r:id="rId81" display="https://arxiv.org/abs/2412.1943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2" t="s">
        <v>1339</v>
      </c>
      <c r="B1" s="12" t="s">
        <v>849</v>
      </c>
      <c r="C1" s="12" t="s">
        <v>1340</v>
      </c>
      <c r="D1" s="12" t="s">
        <v>1341</v>
      </c>
      <c r="E1" s="12" t="s">
        <v>208</v>
      </c>
      <c r="F1" s="12" t="s">
        <v>1342</v>
      </c>
      <c r="G1" s="12" t="s">
        <v>1343</v>
      </c>
    </row>
    <row r="2" customFormat="false" ht="15" hidden="false" customHeight="false" outlineLevel="0" collapsed="false">
      <c r="A2" s="15" t="s">
        <v>1344</v>
      </c>
      <c r="B2" s="15" t="s">
        <v>1345</v>
      </c>
      <c r="C2" s="15"/>
      <c r="D2" s="15"/>
      <c r="E2" s="27" t="s">
        <v>226</v>
      </c>
      <c r="F2" s="15" t="s">
        <v>60</v>
      </c>
      <c r="G2" s="15"/>
    </row>
    <row r="3" customFormat="false" ht="15" hidden="false" customHeight="false" outlineLevel="0" collapsed="false">
      <c r="A3" s="15" t="s">
        <v>1344</v>
      </c>
      <c r="B3" s="15" t="s">
        <v>1346</v>
      </c>
      <c r="C3" s="15"/>
      <c r="D3" s="15"/>
      <c r="E3" s="27" t="s">
        <v>241</v>
      </c>
      <c r="F3" s="15" t="s">
        <v>60</v>
      </c>
      <c r="G3" s="15"/>
    </row>
    <row r="4" customFormat="false" ht="15" hidden="false" customHeight="false" outlineLevel="0" collapsed="false">
      <c r="A4" s="15" t="s">
        <v>1344</v>
      </c>
      <c r="B4" s="15" t="s">
        <v>1347</v>
      </c>
      <c r="C4" s="15"/>
      <c r="D4" s="15"/>
      <c r="E4" s="27" t="s">
        <v>264</v>
      </c>
      <c r="F4" s="15" t="s">
        <v>1348</v>
      </c>
      <c r="G4" s="15"/>
    </row>
    <row r="5" customFormat="false" ht="15" hidden="false" customHeight="false" outlineLevel="0" collapsed="false">
      <c r="A5" s="15" t="s">
        <v>1344</v>
      </c>
      <c r="B5" s="15" t="s">
        <v>1349</v>
      </c>
      <c r="C5" s="15"/>
      <c r="D5" s="15"/>
      <c r="E5" s="27" t="s">
        <v>254</v>
      </c>
      <c r="F5" s="15" t="s">
        <v>60</v>
      </c>
      <c r="G5" s="15"/>
    </row>
    <row r="6" customFormat="false" ht="15" hidden="false" customHeight="false" outlineLevel="0" collapsed="false">
      <c r="A6" s="15" t="s">
        <v>1350</v>
      </c>
      <c r="B6" s="15" t="s">
        <v>1351</v>
      </c>
      <c r="C6" s="15"/>
      <c r="D6" s="15"/>
      <c r="E6" s="27" t="s">
        <v>236</v>
      </c>
      <c r="F6" s="15" t="s">
        <v>60</v>
      </c>
      <c r="G6" s="15"/>
    </row>
    <row r="7" customFormat="false" ht="15" hidden="false" customHeight="false" outlineLevel="0" collapsed="false">
      <c r="A7" s="15" t="s">
        <v>1350</v>
      </c>
      <c r="B7" s="15" t="s">
        <v>1352</v>
      </c>
      <c r="C7" s="15"/>
      <c r="D7" s="15"/>
      <c r="E7" s="27" t="s">
        <v>271</v>
      </c>
      <c r="F7" s="15" t="s">
        <v>1348</v>
      </c>
      <c r="G7" s="15"/>
    </row>
    <row r="8" customFormat="false" ht="15" hidden="false" customHeight="false" outlineLevel="0" collapsed="false">
      <c r="A8" s="15" t="s">
        <v>1353</v>
      </c>
      <c r="B8" s="15" t="s">
        <v>1354</v>
      </c>
      <c r="C8" s="15"/>
      <c r="D8" s="15"/>
      <c r="E8" s="27" t="s">
        <v>862</v>
      </c>
      <c r="F8" s="15" t="s">
        <v>60</v>
      </c>
      <c r="G8" s="15"/>
    </row>
    <row r="9" customFormat="false" ht="23.85" hidden="false" customHeight="false" outlineLevel="0" collapsed="false">
      <c r="A9" s="15" t="s">
        <v>1355</v>
      </c>
      <c r="B9" s="15" t="s">
        <v>1356</v>
      </c>
      <c r="C9" s="15" t="s">
        <v>1357</v>
      </c>
      <c r="D9" s="15" t="s">
        <v>1358</v>
      </c>
      <c r="E9" s="27" t="s">
        <v>232</v>
      </c>
      <c r="F9" s="15" t="s">
        <v>60</v>
      </c>
      <c r="G9" s="15" t="s">
        <v>1359</v>
      </c>
    </row>
    <row r="10" customFormat="false" ht="23.85" hidden="false" customHeight="false" outlineLevel="0" collapsed="false">
      <c r="A10" s="15" t="s">
        <v>1355</v>
      </c>
      <c r="B10" s="15" t="s">
        <v>1360</v>
      </c>
      <c r="C10" s="15" t="s">
        <v>1361</v>
      </c>
      <c r="D10" s="15" t="s">
        <v>1362</v>
      </c>
      <c r="E10" s="27" t="s">
        <v>1363</v>
      </c>
      <c r="F10" s="15" t="s">
        <v>60</v>
      </c>
      <c r="G10" s="15" t="s">
        <v>1364</v>
      </c>
    </row>
    <row r="11" customFormat="false" ht="15" hidden="false" customHeight="false" outlineLevel="0" collapsed="false">
      <c r="A11" s="15" t="s">
        <v>1355</v>
      </c>
      <c r="B11" s="15" t="s">
        <v>1365</v>
      </c>
      <c r="C11" s="15" t="s">
        <v>1361</v>
      </c>
      <c r="D11" s="15" t="s">
        <v>1366</v>
      </c>
      <c r="E11" s="27" t="s">
        <v>251</v>
      </c>
      <c r="F11" s="15" t="s">
        <v>60</v>
      </c>
      <c r="G11" s="15" t="s">
        <v>1367</v>
      </c>
    </row>
    <row r="12" customFormat="false" ht="23.85" hidden="false" customHeight="false" outlineLevel="0" collapsed="false">
      <c r="A12" s="15" t="s">
        <v>1355</v>
      </c>
      <c r="B12" s="15" t="s">
        <v>1368</v>
      </c>
      <c r="C12" s="15" t="s">
        <v>1357</v>
      </c>
      <c r="D12" s="15" t="s">
        <v>1369</v>
      </c>
      <c r="E12" s="27" t="s">
        <v>279</v>
      </c>
      <c r="F12" s="15" t="s">
        <v>62</v>
      </c>
      <c r="G12" s="15" t="s">
        <v>1370</v>
      </c>
    </row>
    <row r="13" customFormat="false" ht="15" hidden="false" customHeight="false" outlineLevel="0" collapsed="false">
      <c r="A13" s="15" t="s">
        <v>1344</v>
      </c>
      <c r="B13" s="15" t="s">
        <v>1371</v>
      </c>
      <c r="C13" s="15"/>
      <c r="D13" s="15"/>
      <c r="E13" s="27" t="s">
        <v>1372</v>
      </c>
      <c r="F13" s="15" t="s">
        <v>62</v>
      </c>
      <c r="G13" s="15"/>
    </row>
    <row r="14" customFormat="false" ht="15" hidden="false" customHeight="false" outlineLevel="0" collapsed="false">
      <c r="A14" s="15" t="s">
        <v>1350</v>
      </c>
      <c r="B14" s="15" t="s">
        <v>1373</v>
      </c>
      <c r="C14" s="15"/>
      <c r="D14" s="15"/>
      <c r="E14" s="27" t="s">
        <v>288</v>
      </c>
      <c r="F14" s="15" t="s">
        <v>62</v>
      </c>
      <c r="G14" s="15"/>
    </row>
    <row r="15" customFormat="false" ht="15" hidden="false" customHeight="false" outlineLevel="0" collapsed="false">
      <c r="A15" s="15" t="s">
        <v>1353</v>
      </c>
      <c r="B15" s="15" t="s">
        <v>1374</v>
      </c>
      <c r="C15" s="15"/>
      <c r="D15" s="15"/>
      <c r="E15" s="27" t="s">
        <v>1375</v>
      </c>
      <c r="F15" s="15" t="s">
        <v>62</v>
      </c>
      <c r="G15" s="15"/>
    </row>
    <row r="16" customFormat="false" ht="23.85" hidden="false" customHeight="false" outlineLevel="0" collapsed="false">
      <c r="A16" s="15" t="s">
        <v>1355</v>
      </c>
      <c r="B16" s="15" t="s">
        <v>1376</v>
      </c>
      <c r="C16" s="15" t="s">
        <v>1377</v>
      </c>
      <c r="D16" s="15" t="s">
        <v>1378</v>
      </c>
      <c r="E16" s="27" t="s">
        <v>285</v>
      </c>
      <c r="F16" s="15" t="s">
        <v>62</v>
      </c>
      <c r="G16" s="15" t="s">
        <v>1379</v>
      </c>
    </row>
    <row r="17" customFormat="false" ht="15" hidden="false" customHeight="false" outlineLevel="0" collapsed="false">
      <c r="A17" s="15" t="s">
        <v>1355</v>
      </c>
      <c r="B17" s="15" t="s">
        <v>1380</v>
      </c>
      <c r="C17" s="15" t="s">
        <v>1381</v>
      </c>
      <c r="D17" s="15" t="s">
        <v>1382</v>
      </c>
      <c r="E17" s="27" t="s">
        <v>298</v>
      </c>
      <c r="F17" s="15" t="s">
        <v>62</v>
      </c>
      <c r="G17" s="15" t="s">
        <v>1383</v>
      </c>
    </row>
    <row r="18" customFormat="false" ht="15" hidden="false" customHeight="false" outlineLevel="0" collapsed="false">
      <c r="A18" s="15" t="s">
        <v>1344</v>
      </c>
      <c r="B18" s="15" t="s">
        <v>1384</v>
      </c>
      <c r="C18" s="15"/>
      <c r="D18" s="15"/>
      <c r="E18" s="27" t="s">
        <v>332</v>
      </c>
      <c r="F18" s="15" t="s">
        <v>64</v>
      </c>
      <c r="G18" s="15"/>
    </row>
    <row r="19" customFormat="false" ht="23.85" hidden="false" customHeight="false" outlineLevel="0" collapsed="false">
      <c r="A19" s="15" t="s">
        <v>1355</v>
      </c>
      <c r="B19" s="15" t="s">
        <v>1385</v>
      </c>
      <c r="C19" s="15" t="s">
        <v>1357</v>
      </c>
      <c r="D19" s="15" t="s">
        <v>1386</v>
      </c>
      <c r="E19" s="27" t="s">
        <v>322</v>
      </c>
      <c r="F19" s="15" t="s">
        <v>64</v>
      </c>
      <c r="G19" s="15" t="s">
        <v>1387</v>
      </c>
    </row>
    <row r="20" customFormat="false" ht="15" hidden="false" customHeight="false" outlineLevel="0" collapsed="false">
      <c r="A20" s="15" t="s">
        <v>1344</v>
      </c>
      <c r="B20" s="15" t="s">
        <v>1388</v>
      </c>
      <c r="C20" s="15"/>
      <c r="D20" s="15"/>
      <c r="E20" s="27" t="s">
        <v>343</v>
      </c>
      <c r="F20" s="15" t="s">
        <v>1389</v>
      </c>
      <c r="G20" s="15"/>
    </row>
    <row r="21" customFormat="false" ht="15" hidden="false" customHeight="false" outlineLevel="0" collapsed="false">
      <c r="A21" s="15" t="s">
        <v>1350</v>
      </c>
      <c r="B21" s="15" t="s">
        <v>1390</v>
      </c>
      <c r="C21" s="15"/>
      <c r="D21" s="15"/>
      <c r="E21" s="27" t="s">
        <v>1391</v>
      </c>
      <c r="F21" s="15" t="s">
        <v>64</v>
      </c>
      <c r="G21" s="15"/>
    </row>
    <row r="22" customFormat="false" ht="15" hidden="false" customHeight="false" outlineLevel="0" collapsed="false">
      <c r="A22" s="15" t="s">
        <v>1350</v>
      </c>
      <c r="B22" s="15" t="s">
        <v>1392</v>
      </c>
      <c r="C22" s="15"/>
      <c r="D22" s="15"/>
      <c r="E22" s="27" t="s">
        <v>1393</v>
      </c>
      <c r="F22" s="15" t="s">
        <v>64</v>
      </c>
      <c r="G22" s="15"/>
    </row>
    <row r="23" customFormat="false" ht="15" hidden="false" customHeight="false" outlineLevel="0" collapsed="false">
      <c r="A23" s="15" t="s">
        <v>1353</v>
      </c>
      <c r="B23" s="15" t="s">
        <v>1394</v>
      </c>
      <c r="C23" s="15"/>
      <c r="D23" s="15"/>
      <c r="E23" s="27" t="s">
        <v>1395</v>
      </c>
      <c r="F23" s="15" t="s">
        <v>64</v>
      </c>
      <c r="G23" s="15"/>
    </row>
    <row r="24" customFormat="false" ht="15" hidden="false" customHeight="false" outlineLevel="0" collapsed="false">
      <c r="A24" s="15" t="s">
        <v>1355</v>
      </c>
      <c r="B24" s="15" t="s">
        <v>1396</v>
      </c>
      <c r="C24" s="15" t="s">
        <v>1397</v>
      </c>
      <c r="D24" s="15" t="s">
        <v>1378</v>
      </c>
      <c r="E24" s="27" t="s">
        <v>329</v>
      </c>
      <c r="F24" s="15" t="s">
        <v>64</v>
      </c>
      <c r="G24" s="15" t="s">
        <v>1398</v>
      </c>
    </row>
    <row r="25" customFormat="false" ht="15" hidden="false" customHeight="false" outlineLevel="0" collapsed="false">
      <c r="A25" s="15" t="s">
        <v>1344</v>
      </c>
      <c r="B25" s="15" t="s">
        <v>1399</v>
      </c>
      <c r="C25" s="15"/>
      <c r="D25" s="15"/>
      <c r="E25" s="27" t="s">
        <v>370</v>
      </c>
      <c r="F25" s="15" t="s">
        <v>66</v>
      </c>
      <c r="G25" s="15"/>
    </row>
    <row r="26" customFormat="false" ht="15" hidden="false" customHeight="false" outlineLevel="0" collapsed="false">
      <c r="A26" s="15" t="s">
        <v>1344</v>
      </c>
      <c r="B26" s="15" t="s">
        <v>1400</v>
      </c>
      <c r="C26" s="15"/>
      <c r="D26" s="15"/>
      <c r="E26" s="27" t="s">
        <v>1401</v>
      </c>
      <c r="F26" s="15" t="s">
        <v>66</v>
      </c>
      <c r="G26" s="15"/>
    </row>
    <row r="27" customFormat="false" ht="15" hidden="false" customHeight="false" outlineLevel="0" collapsed="false">
      <c r="A27" s="15" t="s">
        <v>1344</v>
      </c>
      <c r="B27" s="15" t="s">
        <v>1402</v>
      </c>
      <c r="C27" s="15"/>
      <c r="D27" s="15"/>
      <c r="E27" s="27" t="s">
        <v>1403</v>
      </c>
      <c r="F27" s="15" t="s">
        <v>66</v>
      </c>
      <c r="G27" s="15"/>
    </row>
    <row r="28" customFormat="false" ht="15" hidden="false" customHeight="false" outlineLevel="0" collapsed="false">
      <c r="A28" s="15" t="s">
        <v>1350</v>
      </c>
      <c r="B28" s="15" t="s">
        <v>1404</v>
      </c>
      <c r="C28" s="15"/>
      <c r="D28" s="15"/>
      <c r="E28" s="27" t="s">
        <v>373</v>
      </c>
      <c r="F28" s="15" t="s">
        <v>66</v>
      </c>
      <c r="G28" s="15"/>
    </row>
    <row r="29" customFormat="false" ht="15" hidden="false" customHeight="false" outlineLevel="0" collapsed="false">
      <c r="A29" s="15" t="s">
        <v>1350</v>
      </c>
      <c r="B29" s="15" t="s">
        <v>1405</v>
      </c>
      <c r="C29" s="15"/>
      <c r="D29" s="15"/>
      <c r="E29" s="27" t="s">
        <v>386</v>
      </c>
      <c r="F29" s="15" t="s">
        <v>66</v>
      </c>
      <c r="G29" s="15"/>
    </row>
    <row r="30" customFormat="false" ht="15" hidden="false" customHeight="false" outlineLevel="0" collapsed="false">
      <c r="A30" s="15" t="s">
        <v>1350</v>
      </c>
      <c r="B30" s="15" t="s">
        <v>1406</v>
      </c>
      <c r="C30" s="15"/>
      <c r="D30" s="15"/>
      <c r="E30" s="27" t="s">
        <v>1407</v>
      </c>
      <c r="F30" s="15" t="s">
        <v>66</v>
      </c>
      <c r="G30" s="15"/>
    </row>
    <row r="31" customFormat="false" ht="23.85" hidden="false" customHeight="false" outlineLevel="0" collapsed="false">
      <c r="A31" s="15" t="s">
        <v>1355</v>
      </c>
      <c r="B31" s="15" t="s">
        <v>1408</v>
      </c>
      <c r="C31" s="15" t="s">
        <v>1409</v>
      </c>
      <c r="D31" s="15" t="s">
        <v>1410</v>
      </c>
      <c r="E31" s="27" t="s">
        <v>1411</v>
      </c>
      <c r="F31" s="15" t="s">
        <v>1412</v>
      </c>
      <c r="G31" s="15" t="s">
        <v>1413</v>
      </c>
    </row>
    <row r="32" customFormat="false" ht="23.85" hidden="false" customHeight="false" outlineLevel="0" collapsed="false">
      <c r="A32" s="15" t="s">
        <v>1355</v>
      </c>
      <c r="B32" s="15" t="s">
        <v>1414</v>
      </c>
      <c r="C32" s="15" t="s">
        <v>1415</v>
      </c>
      <c r="D32" s="15" t="s">
        <v>1416</v>
      </c>
      <c r="E32" s="27" t="s">
        <v>1417</v>
      </c>
      <c r="F32" s="15" t="s">
        <v>66</v>
      </c>
      <c r="G32" s="15" t="s">
        <v>1418</v>
      </c>
    </row>
    <row r="33" customFormat="false" ht="15" hidden="false" customHeight="false" outlineLevel="0" collapsed="false">
      <c r="A33" s="15" t="s">
        <v>1344</v>
      </c>
      <c r="B33" s="15" t="s">
        <v>1419</v>
      </c>
      <c r="C33" s="15"/>
      <c r="D33" s="15"/>
      <c r="E33" s="27" t="s">
        <v>399</v>
      </c>
      <c r="F33" s="15" t="s">
        <v>68</v>
      </c>
      <c r="G33" s="15"/>
    </row>
    <row r="34" customFormat="false" ht="15" hidden="false" customHeight="false" outlineLevel="0" collapsed="false">
      <c r="A34" s="15" t="s">
        <v>1344</v>
      </c>
      <c r="B34" s="15" t="s">
        <v>1420</v>
      </c>
      <c r="C34" s="15"/>
      <c r="D34" s="15"/>
      <c r="E34" s="27" t="s">
        <v>407</v>
      </c>
      <c r="F34" s="15" t="s">
        <v>68</v>
      </c>
      <c r="G34" s="15"/>
    </row>
    <row r="35" customFormat="false" ht="15" hidden="false" customHeight="false" outlineLevel="0" collapsed="false">
      <c r="A35" s="15" t="s">
        <v>1344</v>
      </c>
      <c r="B35" s="15" t="s">
        <v>1421</v>
      </c>
      <c r="C35" s="15"/>
      <c r="D35" s="15"/>
      <c r="E35" s="27" t="s">
        <v>434</v>
      </c>
      <c r="F35" s="15" t="s">
        <v>68</v>
      </c>
      <c r="G35" s="15"/>
    </row>
    <row r="36" customFormat="false" ht="15" hidden="false" customHeight="false" outlineLevel="0" collapsed="false">
      <c r="A36" s="15" t="s">
        <v>1350</v>
      </c>
      <c r="B36" s="15" t="s">
        <v>1422</v>
      </c>
      <c r="C36" s="15"/>
      <c r="D36" s="15"/>
      <c r="E36" s="27" t="s">
        <v>410</v>
      </c>
      <c r="F36" s="15" t="s">
        <v>68</v>
      </c>
      <c r="G36" s="15"/>
    </row>
    <row r="37" customFormat="false" ht="15" hidden="false" customHeight="false" outlineLevel="0" collapsed="false">
      <c r="A37" s="15" t="s">
        <v>1350</v>
      </c>
      <c r="B37" s="15" t="s">
        <v>1423</v>
      </c>
      <c r="C37" s="15"/>
      <c r="D37" s="15"/>
      <c r="E37" s="27" t="s">
        <v>1144</v>
      </c>
      <c r="F37" s="15" t="s">
        <v>68</v>
      </c>
      <c r="G37" s="15"/>
    </row>
    <row r="38" customFormat="false" ht="15" hidden="false" customHeight="false" outlineLevel="0" collapsed="false">
      <c r="A38" s="15" t="s">
        <v>1353</v>
      </c>
      <c r="B38" s="15" t="s">
        <v>1424</v>
      </c>
      <c r="C38" s="15"/>
      <c r="D38" s="15"/>
      <c r="E38" s="27" t="s">
        <v>1425</v>
      </c>
      <c r="F38" s="15" t="s">
        <v>68</v>
      </c>
      <c r="G38" s="15"/>
    </row>
    <row r="39" customFormat="false" ht="15" hidden="false" customHeight="false" outlineLevel="0" collapsed="false">
      <c r="A39" s="15" t="s">
        <v>1353</v>
      </c>
      <c r="B39" s="15" t="s">
        <v>1426</v>
      </c>
      <c r="C39" s="15"/>
      <c r="D39" s="15"/>
      <c r="E39" s="27" t="s">
        <v>1427</v>
      </c>
      <c r="F39" s="15" t="s">
        <v>68</v>
      </c>
      <c r="G39" s="15"/>
    </row>
    <row r="40" customFormat="false" ht="15" hidden="false" customHeight="false" outlineLevel="0" collapsed="false">
      <c r="A40" s="15" t="s">
        <v>1353</v>
      </c>
      <c r="B40" s="15" t="s">
        <v>1428</v>
      </c>
      <c r="C40" s="15"/>
      <c r="D40" s="15"/>
      <c r="E40" s="27" t="s">
        <v>403</v>
      </c>
      <c r="F40" s="15" t="s">
        <v>68</v>
      </c>
      <c r="G40" s="15"/>
    </row>
    <row r="41" customFormat="false" ht="23.85" hidden="false" customHeight="false" outlineLevel="0" collapsed="false">
      <c r="A41" s="15" t="s">
        <v>1355</v>
      </c>
      <c r="B41" s="15" t="s">
        <v>1429</v>
      </c>
      <c r="C41" s="15" t="s">
        <v>1430</v>
      </c>
      <c r="D41" s="15" t="s">
        <v>1431</v>
      </c>
      <c r="E41" s="27" t="s">
        <v>427</v>
      </c>
      <c r="F41" s="15" t="s">
        <v>68</v>
      </c>
      <c r="G41" s="15" t="s">
        <v>1432</v>
      </c>
    </row>
    <row r="42" customFormat="false" ht="15" hidden="false" customHeight="false" outlineLevel="0" collapsed="false">
      <c r="A42" s="15" t="s">
        <v>1344</v>
      </c>
      <c r="B42" s="15" t="s">
        <v>1433</v>
      </c>
      <c r="C42" s="15"/>
      <c r="D42" s="15"/>
      <c r="E42" s="27" t="s">
        <v>478</v>
      </c>
      <c r="F42" s="15" t="s">
        <v>70</v>
      </c>
      <c r="G42" s="15"/>
    </row>
    <row r="43" customFormat="false" ht="15" hidden="false" customHeight="false" outlineLevel="0" collapsed="false">
      <c r="A43" s="15" t="s">
        <v>1344</v>
      </c>
      <c r="B43" s="15" t="s">
        <v>1434</v>
      </c>
      <c r="C43" s="15"/>
      <c r="D43" s="15"/>
      <c r="E43" s="27" t="s">
        <v>1435</v>
      </c>
      <c r="F43" s="15" t="s">
        <v>70</v>
      </c>
      <c r="G43" s="15"/>
    </row>
    <row r="44" customFormat="false" ht="15" hidden="false" customHeight="false" outlineLevel="0" collapsed="false">
      <c r="A44" s="15" t="s">
        <v>1344</v>
      </c>
      <c r="B44" s="15" t="s">
        <v>1436</v>
      </c>
      <c r="C44" s="15"/>
      <c r="D44" s="15"/>
      <c r="E44" s="27" t="s">
        <v>452</v>
      </c>
      <c r="F44" s="15" t="s">
        <v>70</v>
      </c>
      <c r="G44" s="15"/>
    </row>
    <row r="45" customFormat="false" ht="15" hidden="false" customHeight="false" outlineLevel="0" collapsed="false">
      <c r="A45" s="15" t="s">
        <v>1350</v>
      </c>
      <c r="B45" s="15" t="s">
        <v>1437</v>
      </c>
      <c r="C45" s="15"/>
      <c r="D45" s="15"/>
      <c r="E45" s="27" t="s">
        <v>445</v>
      </c>
      <c r="F45" s="15" t="s">
        <v>70</v>
      </c>
      <c r="G45" s="15"/>
    </row>
    <row r="46" customFormat="false" ht="15" hidden="false" customHeight="false" outlineLevel="0" collapsed="false">
      <c r="A46" s="15" t="s">
        <v>1350</v>
      </c>
      <c r="B46" s="15" t="s">
        <v>1438</v>
      </c>
      <c r="C46" s="15"/>
      <c r="D46" s="15"/>
      <c r="E46" s="27" t="s">
        <v>486</v>
      </c>
      <c r="F46" s="15" t="s">
        <v>1439</v>
      </c>
      <c r="G46" s="15"/>
    </row>
    <row r="47" customFormat="false" ht="15" hidden="false" customHeight="false" outlineLevel="0" collapsed="false">
      <c r="A47" s="15" t="s">
        <v>1353</v>
      </c>
      <c r="B47" s="15" t="s">
        <v>1440</v>
      </c>
      <c r="C47" s="15"/>
      <c r="D47" s="15"/>
      <c r="E47" s="27" t="s">
        <v>468</v>
      </c>
      <c r="F47" s="15" t="s">
        <v>70</v>
      </c>
      <c r="G47" s="15"/>
    </row>
    <row r="48" customFormat="false" ht="15" hidden="false" customHeight="false" outlineLevel="0" collapsed="false">
      <c r="A48" s="15" t="s">
        <v>1353</v>
      </c>
      <c r="B48" s="15" t="s">
        <v>1441</v>
      </c>
      <c r="C48" s="15"/>
      <c r="D48" s="15"/>
      <c r="E48" s="27" t="s">
        <v>465</v>
      </c>
      <c r="F48" s="15" t="s">
        <v>70</v>
      </c>
      <c r="G48" s="15"/>
    </row>
    <row r="49" customFormat="false" ht="23.85" hidden="false" customHeight="false" outlineLevel="0" collapsed="false">
      <c r="A49" s="15" t="s">
        <v>1355</v>
      </c>
      <c r="B49" s="15" t="s">
        <v>1442</v>
      </c>
      <c r="C49" s="15" t="s">
        <v>1443</v>
      </c>
      <c r="D49" s="15" t="s">
        <v>1444</v>
      </c>
      <c r="E49" s="27" t="s">
        <v>441</v>
      </c>
      <c r="F49" s="15" t="s">
        <v>70</v>
      </c>
      <c r="G49" s="15" t="s">
        <v>1445</v>
      </c>
    </row>
    <row r="50" customFormat="false" ht="23.85" hidden="false" customHeight="false" outlineLevel="0" collapsed="false">
      <c r="A50" s="15" t="s">
        <v>1355</v>
      </c>
      <c r="B50" s="15" t="s">
        <v>1446</v>
      </c>
      <c r="C50" s="15" t="s">
        <v>1447</v>
      </c>
      <c r="D50" s="15" t="s">
        <v>1448</v>
      </c>
      <c r="E50" s="27" t="s">
        <v>449</v>
      </c>
      <c r="F50" s="15" t="s">
        <v>70</v>
      </c>
      <c r="G50" s="15" t="s">
        <v>1449</v>
      </c>
    </row>
    <row r="51" customFormat="false" ht="15" hidden="false" customHeight="false" outlineLevel="0" collapsed="false">
      <c r="A51" s="15" t="s">
        <v>1344</v>
      </c>
      <c r="B51" s="15" t="s">
        <v>1450</v>
      </c>
      <c r="C51" s="15"/>
      <c r="D51" s="15"/>
      <c r="E51" s="27" t="s">
        <v>490</v>
      </c>
      <c r="F51" s="15" t="s">
        <v>72</v>
      </c>
      <c r="G51" s="15"/>
    </row>
    <row r="52" customFormat="false" ht="15" hidden="false" customHeight="false" outlineLevel="0" collapsed="false">
      <c r="A52" s="15" t="s">
        <v>1344</v>
      </c>
      <c r="B52" s="15" t="s">
        <v>1451</v>
      </c>
      <c r="C52" s="15"/>
      <c r="D52" s="15"/>
      <c r="E52" s="27" t="s">
        <v>500</v>
      </c>
      <c r="F52" s="15" t="s">
        <v>72</v>
      </c>
      <c r="G52" s="15"/>
    </row>
    <row r="53" customFormat="false" ht="15" hidden="false" customHeight="false" outlineLevel="0" collapsed="false">
      <c r="A53" s="15" t="s">
        <v>1344</v>
      </c>
      <c r="B53" s="15" t="s">
        <v>1452</v>
      </c>
      <c r="C53" s="15"/>
      <c r="D53" s="15"/>
      <c r="E53" s="27" t="s">
        <v>520</v>
      </c>
      <c r="F53" s="15" t="s">
        <v>1453</v>
      </c>
      <c r="G53" s="15"/>
    </row>
    <row r="54" customFormat="false" ht="15" hidden="false" customHeight="false" outlineLevel="0" collapsed="false">
      <c r="A54" s="15" t="s">
        <v>1350</v>
      </c>
      <c r="B54" s="15" t="s">
        <v>1454</v>
      </c>
      <c r="C54" s="15"/>
      <c r="D54" s="15"/>
      <c r="E54" s="27" t="s">
        <v>1455</v>
      </c>
      <c r="F54" s="15" t="s">
        <v>72</v>
      </c>
      <c r="G54" s="15"/>
    </row>
    <row r="55" customFormat="false" ht="15" hidden="false" customHeight="false" outlineLevel="0" collapsed="false">
      <c r="A55" s="15" t="s">
        <v>1350</v>
      </c>
      <c r="B55" s="15" t="s">
        <v>1456</v>
      </c>
      <c r="C55" s="15"/>
      <c r="D55" s="15"/>
      <c r="E55" s="27" t="s">
        <v>1457</v>
      </c>
      <c r="F55" s="15" t="s">
        <v>72</v>
      </c>
      <c r="G55" s="15"/>
    </row>
    <row r="56" customFormat="false" ht="15" hidden="false" customHeight="false" outlineLevel="0" collapsed="false">
      <c r="A56" s="15" t="s">
        <v>1350</v>
      </c>
      <c r="B56" s="15" t="s">
        <v>1458</v>
      </c>
      <c r="C56" s="15"/>
      <c r="D56" s="15"/>
      <c r="E56" s="27" t="s">
        <v>511</v>
      </c>
      <c r="F56" s="15" t="s">
        <v>72</v>
      </c>
      <c r="G56" s="15"/>
    </row>
    <row r="57" customFormat="false" ht="15" hidden="false" customHeight="false" outlineLevel="0" collapsed="false">
      <c r="A57" s="15" t="s">
        <v>1353</v>
      </c>
      <c r="B57" s="15" t="s">
        <v>1459</v>
      </c>
      <c r="C57" s="15"/>
      <c r="D57" s="15"/>
      <c r="E57" s="27" t="s">
        <v>507</v>
      </c>
      <c r="F57" s="15" t="s">
        <v>72</v>
      </c>
      <c r="G57" s="15"/>
    </row>
    <row r="58" customFormat="false" ht="15" hidden="false" customHeight="false" outlineLevel="0" collapsed="false">
      <c r="A58" s="15" t="s">
        <v>1353</v>
      </c>
      <c r="B58" s="15" t="s">
        <v>1460</v>
      </c>
      <c r="C58" s="15"/>
      <c r="D58" s="15"/>
      <c r="E58" s="27" t="s">
        <v>517</v>
      </c>
      <c r="F58" s="15" t="s">
        <v>72</v>
      </c>
      <c r="G58" s="15"/>
    </row>
    <row r="59" customFormat="false" ht="15" hidden="false" customHeight="false" outlineLevel="0" collapsed="false">
      <c r="A59" s="15" t="s">
        <v>1353</v>
      </c>
      <c r="B59" s="15" t="s">
        <v>1461</v>
      </c>
      <c r="C59" s="15"/>
      <c r="D59" s="15"/>
      <c r="E59" s="27" t="s">
        <v>1462</v>
      </c>
      <c r="F59" s="15" t="s">
        <v>72</v>
      </c>
      <c r="G59" s="15"/>
    </row>
    <row r="60" customFormat="false" ht="15" hidden="false" customHeight="false" outlineLevel="0" collapsed="false">
      <c r="A60" s="15" t="s">
        <v>1344</v>
      </c>
      <c r="B60" s="15" t="s">
        <v>1463</v>
      </c>
      <c r="C60" s="15"/>
      <c r="D60" s="15"/>
      <c r="E60" s="27" t="s">
        <v>1464</v>
      </c>
      <c r="F60" s="15" t="s">
        <v>74</v>
      </c>
      <c r="G60" s="15"/>
    </row>
    <row r="61" customFormat="false" ht="15" hidden="false" customHeight="false" outlineLevel="0" collapsed="false">
      <c r="A61" s="15" t="s">
        <v>1344</v>
      </c>
      <c r="B61" s="15" t="s">
        <v>1465</v>
      </c>
      <c r="C61" s="15"/>
      <c r="D61" s="15"/>
      <c r="E61" s="27" t="s">
        <v>533</v>
      </c>
      <c r="F61" s="15" t="s">
        <v>74</v>
      </c>
      <c r="G61" s="15"/>
    </row>
    <row r="62" customFormat="false" ht="15" hidden="false" customHeight="false" outlineLevel="0" collapsed="false">
      <c r="A62" s="15" t="s">
        <v>1344</v>
      </c>
      <c r="B62" s="15" t="s">
        <v>1466</v>
      </c>
      <c r="C62" s="15"/>
      <c r="D62" s="15"/>
      <c r="E62" s="27" t="s">
        <v>547</v>
      </c>
      <c r="F62" s="15" t="s">
        <v>74</v>
      </c>
      <c r="G62" s="15"/>
    </row>
    <row r="63" customFormat="false" ht="15" hidden="false" customHeight="false" outlineLevel="0" collapsed="false">
      <c r="A63" s="15" t="s">
        <v>1344</v>
      </c>
      <c r="B63" s="15" t="s">
        <v>1467</v>
      </c>
      <c r="C63" s="15"/>
      <c r="D63" s="15"/>
      <c r="E63" s="27" t="s">
        <v>1468</v>
      </c>
      <c r="F63" s="15" t="s">
        <v>1469</v>
      </c>
      <c r="G63" s="15"/>
    </row>
    <row r="64" customFormat="false" ht="15" hidden="false" customHeight="false" outlineLevel="0" collapsed="false">
      <c r="A64" s="15" t="s">
        <v>1350</v>
      </c>
      <c r="B64" s="15" t="s">
        <v>1470</v>
      </c>
      <c r="C64" s="15"/>
      <c r="D64" s="15"/>
      <c r="E64" s="27" t="s">
        <v>537</v>
      </c>
      <c r="F64" s="15" t="s">
        <v>74</v>
      </c>
      <c r="G64" s="15"/>
    </row>
    <row r="65" customFormat="false" ht="15" hidden="false" customHeight="false" outlineLevel="0" collapsed="false">
      <c r="A65" s="15" t="s">
        <v>1350</v>
      </c>
      <c r="B65" s="15" t="s">
        <v>1471</v>
      </c>
      <c r="C65" s="15"/>
      <c r="D65" s="15"/>
      <c r="E65" s="27" t="s">
        <v>540</v>
      </c>
      <c r="F65" s="15" t="s">
        <v>74</v>
      </c>
      <c r="G65" s="15"/>
    </row>
    <row r="66" customFormat="false" ht="15" hidden="false" customHeight="false" outlineLevel="0" collapsed="false">
      <c r="A66" s="15" t="s">
        <v>1350</v>
      </c>
      <c r="B66" s="15" t="s">
        <v>1472</v>
      </c>
      <c r="C66" s="15"/>
      <c r="D66" s="15"/>
      <c r="E66" s="27" t="s">
        <v>554</v>
      </c>
      <c r="F66" s="15" t="s">
        <v>74</v>
      </c>
      <c r="G66" s="15"/>
    </row>
    <row r="67" customFormat="false" ht="15" hidden="false" customHeight="false" outlineLevel="0" collapsed="false">
      <c r="A67" s="15" t="s">
        <v>1350</v>
      </c>
      <c r="B67" s="15" t="s">
        <v>1473</v>
      </c>
      <c r="C67" s="15"/>
      <c r="D67" s="15"/>
      <c r="E67" s="27" t="s">
        <v>558</v>
      </c>
      <c r="F67" s="15" t="s">
        <v>74</v>
      </c>
      <c r="G67" s="15"/>
    </row>
    <row r="68" customFormat="false" ht="15" hidden="false" customHeight="false" outlineLevel="0" collapsed="false">
      <c r="A68" s="15" t="s">
        <v>1353</v>
      </c>
      <c r="B68" s="15" t="s">
        <v>1474</v>
      </c>
      <c r="C68" s="15"/>
      <c r="D68" s="15"/>
      <c r="E68" s="27" t="s">
        <v>693</v>
      </c>
      <c r="F68" s="15" t="s">
        <v>1475</v>
      </c>
      <c r="G68" s="15"/>
    </row>
    <row r="69" customFormat="false" ht="15" hidden="false" customHeight="false" outlineLevel="0" collapsed="false">
      <c r="A69" s="15" t="s">
        <v>1353</v>
      </c>
      <c r="B69" s="15" t="s">
        <v>1476</v>
      </c>
      <c r="C69" s="15"/>
      <c r="D69" s="15"/>
      <c r="E69" s="27" t="s">
        <v>1477</v>
      </c>
      <c r="F69" s="15" t="s">
        <v>74</v>
      </c>
      <c r="G69" s="15"/>
    </row>
    <row r="70" customFormat="false" ht="15" hidden="false" customHeight="false" outlineLevel="0" collapsed="false">
      <c r="A70" s="15" t="s">
        <v>1344</v>
      </c>
      <c r="B70" s="15" t="s">
        <v>1478</v>
      </c>
      <c r="C70" s="15"/>
      <c r="D70" s="15"/>
      <c r="E70" s="27" t="s">
        <v>1479</v>
      </c>
      <c r="F70" s="15" t="s">
        <v>76</v>
      </c>
      <c r="G70" s="15"/>
    </row>
    <row r="71" customFormat="false" ht="15" hidden="false" customHeight="false" outlineLevel="0" collapsed="false">
      <c r="A71" s="15" t="s">
        <v>1344</v>
      </c>
      <c r="B71" s="15" t="s">
        <v>1480</v>
      </c>
      <c r="C71" s="15"/>
      <c r="D71" s="15"/>
      <c r="E71" s="27" t="s">
        <v>584</v>
      </c>
      <c r="F71" s="15" t="s">
        <v>76</v>
      </c>
      <c r="G71" s="15"/>
    </row>
    <row r="72" customFormat="false" ht="15" hidden="false" customHeight="false" outlineLevel="0" collapsed="false">
      <c r="A72" s="15" t="s">
        <v>1344</v>
      </c>
      <c r="B72" s="15" t="s">
        <v>1481</v>
      </c>
      <c r="C72" s="15"/>
      <c r="D72" s="15"/>
      <c r="E72" s="27" t="s">
        <v>1482</v>
      </c>
      <c r="F72" s="15" t="s">
        <v>76</v>
      </c>
      <c r="G72" s="15"/>
    </row>
    <row r="73" customFormat="false" ht="15" hidden="false" customHeight="false" outlineLevel="0" collapsed="false">
      <c r="A73" s="15" t="s">
        <v>1350</v>
      </c>
      <c r="B73" s="15" t="s">
        <v>1483</v>
      </c>
      <c r="C73" s="15"/>
      <c r="D73" s="15"/>
      <c r="E73" s="27" t="s">
        <v>1484</v>
      </c>
      <c r="F73" s="15" t="s">
        <v>76</v>
      </c>
      <c r="G73" s="15"/>
    </row>
    <row r="74" customFormat="false" ht="15" hidden="false" customHeight="false" outlineLevel="0" collapsed="false">
      <c r="A74" s="15" t="s">
        <v>1350</v>
      </c>
      <c r="B74" s="15" t="s">
        <v>1485</v>
      </c>
      <c r="C74" s="15"/>
      <c r="D74" s="15"/>
      <c r="E74" s="27" t="s">
        <v>1486</v>
      </c>
      <c r="F74" s="15" t="s">
        <v>76</v>
      </c>
      <c r="G74" s="15"/>
    </row>
    <row r="75" customFormat="false" ht="15" hidden="false" customHeight="false" outlineLevel="0" collapsed="false">
      <c r="A75" s="15" t="s">
        <v>1350</v>
      </c>
      <c r="B75" s="15" t="s">
        <v>1487</v>
      </c>
      <c r="C75" s="15"/>
      <c r="D75" s="15"/>
      <c r="E75" s="27" t="s">
        <v>1488</v>
      </c>
      <c r="F75" s="15" t="s">
        <v>76</v>
      </c>
      <c r="G75" s="15"/>
    </row>
    <row r="76" customFormat="false" ht="15" hidden="false" customHeight="false" outlineLevel="0" collapsed="false">
      <c r="A76" s="15" t="s">
        <v>1350</v>
      </c>
      <c r="B76" s="15" t="s">
        <v>1489</v>
      </c>
      <c r="C76" s="15"/>
      <c r="D76" s="15"/>
      <c r="E76" s="27" t="s">
        <v>599</v>
      </c>
      <c r="F76" s="15" t="s">
        <v>76</v>
      </c>
      <c r="G76" s="15"/>
    </row>
    <row r="77" customFormat="false" ht="15" hidden="false" customHeight="false" outlineLevel="0" collapsed="false">
      <c r="A77" s="15" t="s">
        <v>1353</v>
      </c>
      <c r="B77" s="15" t="s">
        <v>1490</v>
      </c>
      <c r="C77" s="15"/>
      <c r="D77" s="15"/>
      <c r="E77" s="27" t="s">
        <v>1491</v>
      </c>
      <c r="F77" s="15" t="s">
        <v>76</v>
      </c>
      <c r="G77" s="15"/>
    </row>
    <row r="78" customFormat="false" ht="23.85" hidden="false" customHeight="false" outlineLevel="0" collapsed="false">
      <c r="A78" s="15" t="s">
        <v>1355</v>
      </c>
      <c r="B78" s="15" t="s">
        <v>1492</v>
      </c>
      <c r="C78" s="15" t="s">
        <v>1493</v>
      </c>
      <c r="D78" s="15" t="s">
        <v>1448</v>
      </c>
      <c r="E78" s="27" t="s">
        <v>573</v>
      </c>
      <c r="F78" s="15" t="s">
        <v>76</v>
      </c>
      <c r="G78" s="15" t="s">
        <v>1494</v>
      </c>
    </row>
    <row r="79" customFormat="false" ht="23.85" hidden="false" customHeight="false" outlineLevel="0" collapsed="false">
      <c r="A79" s="15" t="s">
        <v>1355</v>
      </c>
      <c r="B79" s="15" t="s">
        <v>1495</v>
      </c>
      <c r="C79" s="15" t="s">
        <v>1381</v>
      </c>
      <c r="D79" s="15" t="s">
        <v>1496</v>
      </c>
      <c r="E79" s="27" t="s">
        <v>581</v>
      </c>
      <c r="F79" s="15" t="s">
        <v>76</v>
      </c>
      <c r="G79" s="15" t="s">
        <v>1497</v>
      </c>
    </row>
    <row r="80" customFormat="false" ht="23.85" hidden="false" customHeight="false" outlineLevel="0" collapsed="false">
      <c r="A80" s="15" t="s">
        <v>1355</v>
      </c>
      <c r="B80" s="15" t="s">
        <v>1498</v>
      </c>
      <c r="C80" s="15" t="s">
        <v>1381</v>
      </c>
      <c r="D80" s="15" t="s">
        <v>1499</v>
      </c>
      <c r="E80" s="27" t="s">
        <v>588</v>
      </c>
      <c r="F80" s="15" t="s">
        <v>76</v>
      </c>
      <c r="G80" s="15" t="s">
        <v>1500</v>
      </c>
    </row>
    <row r="81" customFormat="false" ht="15" hidden="false" customHeight="false" outlineLevel="0" collapsed="false">
      <c r="A81" s="15" t="s">
        <v>1344</v>
      </c>
      <c r="B81" s="15" t="s">
        <v>1501</v>
      </c>
      <c r="C81" s="15"/>
      <c r="D81" s="15"/>
      <c r="E81" s="27" t="s">
        <v>617</v>
      </c>
      <c r="F81" s="15" t="s">
        <v>78</v>
      </c>
      <c r="G81" s="15"/>
    </row>
    <row r="82" customFormat="false" ht="15" hidden="false" customHeight="false" outlineLevel="0" collapsed="false">
      <c r="A82" s="15" t="s">
        <v>1344</v>
      </c>
      <c r="B82" s="15" t="s">
        <v>1502</v>
      </c>
      <c r="C82" s="15"/>
      <c r="D82" s="15"/>
      <c r="E82" s="27" t="s">
        <v>625</v>
      </c>
      <c r="F82" s="15" t="s">
        <v>1503</v>
      </c>
      <c r="G82" s="15"/>
    </row>
    <row r="83" customFormat="false" ht="15" hidden="false" customHeight="false" outlineLevel="0" collapsed="false">
      <c r="A83" s="15" t="s">
        <v>1344</v>
      </c>
      <c r="B83" s="15" t="s">
        <v>1504</v>
      </c>
      <c r="C83" s="15"/>
      <c r="D83" s="15"/>
      <c r="E83" s="27" t="s">
        <v>639</v>
      </c>
      <c r="F83" s="15" t="s">
        <v>78</v>
      </c>
      <c r="G83" s="15"/>
    </row>
    <row r="84" customFormat="false" ht="15" hidden="false" customHeight="false" outlineLevel="0" collapsed="false">
      <c r="A84" s="15" t="s">
        <v>1344</v>
      </c>
      <c r="B84" s="15" t="s">
        <v>1505</v>
      </c>
      <c r="C84" s="15"/>
      <c r="D84" s="15"/>
      <c r="E84" s="27" t="s">
        <v>1506</v>
      </c>
      <c r="F84" s="15" t="s">
        <v>78</v>
      </c>
      <c r="G84" s="15"/>
    </row>
    <row r="85" customFormat="false" ht="15" hidden="false" customHeight="false" outlineLevel="0" collapsed="false">
      <c r="A85" s="15" t="s">
        <v>1350</v>
      </c>
      <c r="B85" s="15" t="s">
        <v>1507</v>
      </c>
      <c r="C85" s="15"/>
      <c r="D85" s="15"/>
      <c r="E85" s="27" t="s">
        <v>632</v>
      </c>
      <c r="F85" s="15" t="s">
        <v>78</v>
      </c>
      <c r="G85" s="15"/>
    </row>
    <row r="86" customFormat="false" ht="15" hidden="false" customHeight="false" outlineLevel="0" collapsed="false">
      <c r="A86" s="15" t="s">
        <v>1350</v>
      </c>
      <c r="B86" s="15" t="s">
        <v>1508</v>
      </c>
      <c r="C86" s="15"/>
      <c r="D86" s="15"/>
      <c r="E86" s="27" t="s">
        <v>1509</v>
      </c>
      <c r="F86" s="15" t="s">
        <v>78</v>
      </c>
      <c r="G86" s="15"/>
    </row>
    <row r="87" customFormat="false" ht="15" hidden="false" customHeight="false" outlineLevel="0" collapsed="false">
      <c r="A87" s="15" t="s">
        <v>1350</v>
      </c>
      <c r="B87" s="15" t="s">
        <v>1510</v>
      </c>
      <c r="C87" s="15"/>
      <c r="D87" s="15"/>
      <c r="E87" s="27" t="s">
        <v>1511</v>
      </c>
      <c r="F87" s="15" t="s">
        <v>78</v>
      </c>
      <c r="G87" s="15"/>
    </row>
    <row r="88" customFormat="false" ht="15" hidden="false" customHeight="false" outlineLevel="0" collapsed="false">
      <c r="A88" s="15" t="s">
        <v>1350</v>
      </c>
      <c r="B88" s="15" t="s">
        <v>1512</v>
      </c>
      <c r="C88" s="15"/>
      <c r="D88" s="15"/>
      <c r="E88" s="27" t="s">
        <v>650</v>
      </c>
      <c r="F88" s="15" t="s">
        <v>78</v>
      </c>
      <c r="G88" s="15"/>
    </row>
    <row r="89" customFormat="false" ht="15" hidden="false" customHeight="false" outlineLevel="0" collapsed="false">
      <c r="A89" s="15" t="s">
        <v>1350</v>
      </c>
      <c r="B89" s="15" t="s">
        <v>1513</v>
      </c>
      <c r="C89" s="15"/>
      <c r="D89" s="15"/>
      <c r="E89" s="27" t="s">
        <v>642</v>
      </c>
      <c r="F89" s="15" t="s">
        <v>78</v>
      </c>
      <c r="G89" s="15"/>
    </row>
    <row r="90" customFormat="false" ht="15" hidden="false" customHeight="false" outlineLevel="0" collapsed="false">
      <c r="A90" s="15" t="s">
        <v>1350</v>
      </c>
      <c r="B90" s="15" t="s">
        <v>1514</v>
      </c>
      <c r="C90" s="15"/>
      <c r="D90" s="15"/>
      <c r="E90" s="27" t="s">
        <v>1515</v>
      </c>
      <c r="F90" s="15" t="s">
        <v>78</v>
      </c>
      <c r="G90" s="15"/>
    </row>
    <row r="91" customFormat="false" ht="15" hidden="false" customHeight="false" outlineLevel="0" collapsed="false">
      <c r="A91" s="15" t="s">
        <v>1353</v>
      </c>
      <c r="B91" s="15" t="s">
        <v>1516</v>
      </c>
      <c r="C91" s="15"/>
      <c r="D91" s="15"/>
      <c r="E91" s="27" t="s">
        <v>658</v>
      </c>
      <c r="F91" s="15" t="s">
        <v>78</v>
      </c>
      <c r="G91" s="15"/>
    </row>
    <row r="92" customFormat="false" ht="15" hidden="false" customHeight="false" outlineLevel="0" collapsed="false">
      <c r="A92" s="15" t="s">
        <v>1353</v>
      </c>
      <c r="B92" s="15" t="s">
        <v>1517</v>
      </c>
      <c r="C92" s="15"/>
      <c r="D92" s="15"/>
      <c r="E92" s="27" t="s">
        <v>646</v>
      </c>
      <c r="F92" s="15" t="s">
        <v>78</v>
      </c>
      <c r="G92" s="15"/>
    </row>
    <row r="93" customFormat="false" ht="15" hidden="false" customHeight="false" outlineLevel="0" collapsed="false">
      <c r="A93" s="15" t="s">
        <v>1353</v>
      </c>
      <c r="B93" s="15" t="s">
        <v>1518</v>
      </c>
      <c r="C93" s="15"/>
      <c r="D93" s="15"/>
      <c r="E93" s="27" t="s">
        <v>1519</v>
      </c>
      <c r="F93" s="15" t="s">
        <v>78</v>
      </c>
      <c r="G93" s="15"/>
    </row>
    <row r="94" customFormat="false" ht="15" hidden="false" customHeight="false" outlineLevel="0" collapsed="false">
      <c r="A94" s="15" t="s">
        <v>1353</v>
      </c>
      <c r="B94" s="15" t="s">
        <v>1520</v>
      </c>
      <c r="C94" s="15"/>
      <c r="D94" s="15"/>
      <c r="E94" s="27" t="s">
        <v>1521</v>
      </c>
      <c r="F94" s="15" t="s">
        <v>78</v>
      </c>
      <c r="G94" s="15"/>
    </row>
    <row r="95" customFormat="false" ht="15" hidden="false" customHeight="false" outlineLevel="0" collapsed="false">
      <c r="A95" s="15" t="s">
        <v>1353</v>
      </c>
      <c r="B95" s="15" t="s">
        <v>1522</v>
      </c>
      <c r="C95" s="15"/>
      <c r="D95" s="15"/>
      <c r="E95" s="27" t="s">
        <v>1523</v>
      </c>
      <c r="F95" s="15" t="s">
        <v>78</v>
      </c>
      <c r="G95" s="15"/>
    </row>
    <row r="96" customFormat="false" ht="15" hidden="false" customHeight="false" outlineLevel="0" collapsed="false">
      <c r="A96" s="15" t="s">
        <v>1353</v>
      </c>
      <c r="B96" s="15" t="s">
        <v>1524</v>
      </c>
      <c r="C96" s="15"/>
      <c r="D96" s="15"/>
      <c r="E96" s="27" t="s">
        <v>654</v>
      </c>
      <c r="F96" s="15" t="s">
        <v>78</v>
      </c>
      <c r="G96" s="15"/>
    </row>
    <row r="97" customFormat="false" ht="15" hidden="false" customHeight="false" outlineLevel="0" collapsed="false">
      <c r="A97" s="15" t="s">
        <v>1353</v>
      </c>
      <c r="B97" s="15" t="s">
        <v>1525</v>
      </c>
      <c r="C97" s="15"/>
      <c r="D97" s="15"/>
      <c r="E97" s="27" t="s">
        <v>1526</v>
      </c>
      <c r="F97" s="15" t="s">
        <v>78</v>
      </c>
      <c r="G97" s="15"/>
    </row>
    <row r="98" customFormat="false" ht="15" hidden="false" customHeight="false" outlineLevel="0" collapsed="false">
      <c r="A98" s="15" t="s">
        <v>1353</v>
      </c>
      <c r="B98" s="15" t="s">
        <v>1527</v>
      </c>
      <c r="C98" s="15"/>
      <c r="D98" s="15"/>
      <c r="E98" s="27" t="s">
        <v>1528</v>
      </c>
      <c r="F98" s="15" t="s">
        <v>78</v>
      </c>
      <c r="G98" s="15"/>
    </row>
    <row r="99" customFormat="false" ht="15" hidden="false" customHeight="false" outlineLevel="0" collapsed="false">
      <c r="A99" s="15" t="s">
        <v>1353</v>
      </c>
      <c r="B99" s="15" t="s">
        <v>1529</v>
      </c>
      <c r="C99" s="15"/>
      <c r="D99" s="15"/>
      <c r="E99" s="27" t="s">
        <v>787</v>
      </c>
      <c r="F99" s="15" t="s">
        <v>78</v>
      </c>
      <c r="G99" s="15"/>
    </row>
    <row r="100" customFormat="false" ht="15" hidden="false" customHeight="false" outlineLevel="0" collapsed="false">
      <c r="A100" s="15" t="s">
        <v>1353</v>
      </c>
      <c r="B100" s="15" t="s">
        <v>1530</v>
      </c>
      <c r="C100" s="15"/>
      <c r="D100" s="15"/>
      <c r="E100" s="27" t="s">
        <v>635</v>
      </c>
      <c r="F100" s="15" t="s">
        <v>78</v>
      </c>
      <c r="G100" s="15"/>
    </row>
    <row r="101" customFormat="false" ht="15" hidden="false" customHeight="false" outlineLevel="0" collapsed="false">
      <c r="A101" s="15" t="s">
        <v>1353</v>
      </c>
      <c r="B101" s="15" t="s">
        <v>1531</v>
      </c>
      <c r="C101" s="15"/>
      <c r="D101" s="15"/>
      <c r="E101" s="27" t="s">
        <v>758</v>
      </c>
      <c r="F101" s="15" t="s">
        <v>1503</v>
      </c>
      <c r="G101" s="15"/>
    </row>
    <row r="102" customFormat="false" ht="23.85" hidden="false" customHeight="false" outlineLevel="0" collapsed="false">
      <c r="A102" s="15" t="s">
        <v>1355</v>
      </c>
      <c r="B102" s="15" t="s">
        <v>1532</v>
      </c>
      <c r="C102" s="15" t="s">
        <v>1533</v>
      </c>
      <c r="D102" s="15" t="s">
        <v>1534</v>
      </c>
      <c r="E102" s="27" t="s">
        <v>1535</v>
      </c>
      <c r="F102" s="15" t="s">
        <v>78</v>
      </c>
      <c r="G102" s="15" t="s">
        <v>1536</v>
      </c>
    </row>
    <row r="103" customFormat="false" ht="15" hidden="false" customHeight="false" outlineLevel="0" collapsed="false">
      <c r="A103" s="15" t="s">
        <v>1344</v>
      </c>
      <c r="B103" s="15" t="s">
        <v>1537</v>
      </c>
      <c r="C103" s="15"/>
      <c r="D103" s="15"/>
      <c r="E103" s="27" t="s">
        <v>665</v>
      </c>
      <c r="F103" s="15" t="s">
        <v>80</v>
      </c>
      <c r="G103" s="15"/>
    </row>
    <row r="104" customFormat="false" ht="15" hidden="false" customHeight="false" outlineLevel="0" collapsed="false">
      <c r="A104" s="15" t="s">
        <v>1344</v>
      </c>
      <c r="B104" s="15" t="s">
        <v>1538</v>
      </c>
      <c r="C104" s="15"/>
      <c r="D104" s="15"/>
      <c r="E104" s="27" t="s">
        <v>671</v>
      </c>
      <c r="F104" s="15" t="s">
        <v>80</v>
      </c>
      <c r="G104" s="15"/>
    </row>
    <row r="105" customFormat="false" ht="15" hidden="false" customHeight="false" outlineLevel="0" collapsed="false">
      <c r="A105" s="15" t="s">
        <v>1344</v>
      </c>
      <c r="B105" s="15" t="s">
        <v>1539</v>
      </c>
      <c r="C105" s="15"/>
      <c r="D105" s="15"/>
      <c r="E105" s="27" t="s">
        <v>668</v>
      </c>
      <c r="F105" s="15" t="s">
        <v>80</v>
      </c>
      <c r="G105" s="15"/>
    </row>
    <row r="106" customFormat="false" ht="15" hidden="false" customHeight="false" outlineLevel="0" collapsed="false">
      <c r="A106" s="15" t="s">
        <v>1344</v>
      </c>
      <c r="B106" s="15" t="s">
        <v>1540</v>
      </c>
      <c r="C106" s="15"/>
      <c r="D106" s="15"/>
      <c r="E106" s="27" t="s">
        <v>690</v>
      </c>
      <c r="F106" s="15" t="s">
        <v>80</v>
      </c>
      <c r="G106" s="15"/>
    </row>
    <row r="107" customFormat="false" ht="15" hidden="false" customHeight="false" outlineLevel="0" collapsed="false">
      <c r="A107" s="15" t="s">
        <v>1344</v>
      </c>
      <c r="B107" s="15" t="s">
        <v>1541</v>
      </c>
      <c r="C107" s="15"/>
      <c r="D107" s="15"/>
      <c r="E107" s="27" t="s">
        <v>1542</v>
      </c>
      <c r="F107" s="15" t="s">
        <v>80</v>
      </c>
      <c r="G107" s="15"/>
    </row>
    <row r="108" customFormat="false" ht="15" hidden="false" customHeight="false" outlineLevel="0" collapsed="false">
      <c r="A108" s="15" t="s">
        <v>1350</v>
      </c>
      <c r="B108" s="15" t="s">
        <v>1543</v>
      </c>
      <c r="C108" s="15"/>
      <c r="D108" s="15"/>
      <c r="E108" s="27" t="s">
        <v>1544</v>
      </c>
      <c r="F108" s="15" t="s">
        <v>80</v>
      </c>
      <c r="G108" s="15"/>
    </row>
    <row r="109" customFormat="false" ht="15" hidden="false" customHeight="false" outlineLevel="0" collapsed="false">
      <c r="A109" s="15" t="s">
        <v>1350</v>
      </c>
      <c r="B109" s="15" t="s">
        <v>1545</v>
      </c>
      <c r="C109" s="15"/>
      <c r="D109" s="15"/>
      <c r="E109" s="27" t="s">
        <v>675</v>
      </c>
      <c r="F109" s="15" t="s">
        <v>80</v>
      </c>
      <c r="G109" s="15"/>
    </row>
    <row r="110" customFormat="false" ht="15" hidden="false" customHeight="false" outlineLevel="0" collapsed="false">
      <c r="A110" s="15" t="s">
        <v>1350</v>
      </c>
      <c r="B110" s="15" t="s">
        <v>1546</v>
      </c>
      <c r="C110" s="15"/>
      <c r="D110" s="15"/>
      <c r="E110" s="27" t="s">
        <v>1547</v>
      </c>
      <c r="F110" s="15" t="s">
        <v>80</v>
      </c>
      <c r="G110" s="15"/>
    </row>
    <row r="111" customFormat="false" ht="15" hidden="false" customHeight="false" outlineLevel="0" collapsed="false">
      <c r="A111" s="15" t="s">
        <v>1353</v>
      </c>
      <c r="B111" s="15" t="s">
        <v>1548</v>
      </c>
      <c r="C111" s="15"/>
      <c r="D111" s="15"/>
      <c r="E111" s="27" t="s">
        <v>1549</v>
      </c>
      <c r="F111" s="15" t="s">
        <v>80</v>
      </c>
      <c r="G111" s="15"/>
    </row>
    <row r="112" customFormat="false" ht="15" hidden="false" customHeight="false" outlineLevel="0" collapsed="false">
      <c r="A112" s="15" t="s">
        <v>1353</v>
      </c>
      <c r="B112" s="15" t="s">
        <v>1550</v>
      </c>
      <c r="C112" s="15"/>
      <c r="D112" s="15"/>
      <c r="E112" s="27" t="s">
        <v>704</v>
      </c>
      <c r="F112" s="15" t="s">
        <v>80</v>
      </c>
      <c r="G112" s="15"/>
    </row>
    <row r="113" customFormat="false" ht="15" hidden="false" customHeight="false" outlineLevel="0" collapsed="false">
      <c r="A113" s="15" t="s">
        <v>1353</v>
      </c>
      <c r="B113" s="15" t="s">
        <v>1551</v>
      </c>
      <c r="C113" s="15"/>
      <c r="D113" s="15"/>
      <c r="E113" s="27" t="s">
        <v>1552</v>
      </c>
      <c r="F113" s="15" t="s">
        <v>80</v>
      </c>
      <c r="G113" s="15"/>
    </row>
    <row r="114" customFormat="false" ht="15" hidden="false" customHeight="false" outlineLevel="0" collapsed="false">
      <c r="A114" s="15" t="s">
        <v>1355</v>
      </c>
      <c r="B114" s="15" t="s">
        <v>1553</v>
      </c>
      <c r="C114" s="15" t="s">
        <v>1554</v>
      </c>
      <c r="D114" s="15" t="s">
        <v>1448</v>
      </c>
      <c r="E114" s="27" t="s">
        <v>686</v>
      </c>
      <c r="F114" s="15" t="s">
        <v>80</v>
      </c>
      <c r="G114" s="15" t="s">
        <v>1555</v>
      </c>
    </row>
    <row r="115" customFormat="false" ht="15" hidden="false" customHeight="false" outlineLevel="0" collapsed="false">
      <c r="A115" s="15" t="s">
        <v>1355</v>
      </c>
      <c r="B115" s="15" t="s">
        <v>1556</v>
      </c>
      <c r="C115" s="15" t="s">
        <v>1557</v>
      </c>
      <c r="D115" s="15" t="s">
        <v>1558</v>
      </c>
      <c r="E115" s="27" t="s">
        <v>1559</v>
      </c>
      <c r="F115" s="15" t="s">
        <v>80</v>
      </c>
      <c r="G115" s="15" t="s">
        <v>1560</v>
      </c>
    </row>
    <row r="116" customFormat="false" ht="15" hidden="false" customHeight="false" outlineLevel="0" collapsed="false">
      <c r="A116" s="15" t="s">
        <v>1355</v>
      </c>
      <c r="B116" s="15" t="s">
        <v>1561</v>
      </c>
      <c r="C116" s="15" t="s">
        <v>1562</v>
      </c>
      <c r="D116" s="15" t="s">
        <v>1563</v>
      </c>
      <c r="E116" s="27" t="s">
        <v>700</v>
      </c>
      <c r="F116" s="15" t="s">
        <v>80</v>
      </c>
      <c r="G116" s="15" t="s">
        <v>1564</v>
      </c>
    </row>
    <row r="117" customFormat="false" ht="23.85" hidden="false" customHeight="false" outlineLevel="0" collapsed="false">
      <c r="A117" s="15" t="s">
        <v>1355</v>
      </c>
      <c r="B117" s="15" t="s">
        <v>1565</v>
      </c>
      <c r="C117" s="15" t="s">
        <v>1381</v>
      </c>
      <c r="D117" s="15" t="s">
        <v>1566</v>
      </c>
      <c r="E117" s="27" t="s">
        <v>1567</v>
      </c>
      <c r="F117" s="15" t="s">
        <v>80</v>
      </c>
      <c r="G117" s="15" t="s">
        <v>1568</v>
      </c>
    </row>
    <row r="118" customFormat="false" ht="15" hidden="false" customHeight="false" outlineLevel="0" collapsed="false">
      <c r="A118" s="15" t="s">
        <v>1344</v>
      </c>
      <c r="B118" s="15" t="s">
        <v>1569</v>
      </c>
      <c r="C118" s="15"/>
      <c r="D118" s="15"/>
      <c r="E118" s="27" t="s">
        <v>715</v>
      </c>
      <c r="F118" s="15" t="s">
        <v>82</v>
      </c>
      <c r="G118" s="15"/>
    </row>
    <row r="119" customFormat="false" ht="15" hidden="false" customHeight="false" outlineLevel="0" collapsed="false">
      <c r="A119" s="15" t="s">
        <v>1344</v>
      </c>
      <c r="B119" s="15" t="s">
        <v>1570</v>
      </c>
      <c r="C119" s="15"/>
      <c r="D119" s="15"/>
      <c r="E119" s="27" t="s">
        <v>738</v>
      </c>
      <c r="F119" s="15" t="s">
        <v>82</v>
      </c>
      <c r="G119" s="15"/>
    </row>
    <row r="120" customFormat="false" ht="15" hidden="false" customHeight="false" outlineLevel="0" collapsed="false">
      <c r="A120" s="15" t="s">
        <v>1344</v>
      </c>
      <c r="B120" s="15" t="s">
        <v>1571</v>
      </c>
      <c r="C120" s="15"/>
      <c r="D120" s="15"/>
      <c r="E120" s="27" t="s">
        <v>773</v>
      </c>
      <c r="F120" s="15" t="s">
        <v>82</v>
      </c>
      <c r="G120" s="15"/>
    </row>
    <row r="121" customFormat="false" ht="15" hidden="false" customHeight="false" outlineLevel="0" collapsed="false">
      <c r="A121" s="15" t="s">
        <v>1344</v>
      </c>
      <c r="B121" s="15" t="s">
        <v>1572</v>
      </c>
      <c r="C121" s="15"/>
      <c r="D121" s="15"/>
      <c r="E121" s="27" t="s">
        <v>741</v>
      </c>
      <c r="F121" s="15" t="s">
        <v>82</v>
      </c>
      <c r="G121" s="15"/>
    </row>
    <row r="122" customFormat="false" ht="15" hidden="false" customHeight="false" outlineLevel="0" collapsed="false">
      <c r="A122" s="15" t="s">
        <v>1350</v>
      </c>
      <c r="B122" s="15" t="s">
        <v>1573</v>
      </c>
      <c r="C122" s="15"/>
      <c r="D122" s="15"/>
      <c r="E122" s="27" t="s">
        <v>1574</v>
      </c>
      <c r="F122" s="15" t="s">
        <v>82</v>
      </c>
      <c r="G122" s="15"/>
    </row>
    <row r="123" customFormat="false" ht="15" hidden="false" customHeight="false" outlineLevel="0" collapsed="false">
      <c r="A123" s="15" t="s">
        <v>1350</v>
      </c>
      <c r="B123" s="15" t="s">
        <v>1575</v>
      </c>
      <c r="C123" s="15"/>
      <c r="D123" s="15"/>
      <c r="E123" s="27" t="s">
        <v>1576</v>
      </c>
      <c r="F123" s="15" t="s">
        <v>82</v>
      </c>
      <c r="G123" s="15"/>
    </row>
    <row r="124" customFormat="false" ht="15" hidden="false" customHeight="false" outlineLevel="0" collapsed="false">
      <c r="A124" s="15" t="s">
        <v>1350</v>
      </c>
      <c r="B124" s="15" t="s">
        <v>1577</v>
      </c>
      <c r="C124" s="15"/>
      <c r="D124" s="15"/>
      <c r="E124" s="27" t="s">
        <v>723</v>
      </c>
      <c r="F124" s="15" t="s">
        <v>82</v>
      </c>
      <c r="G124" s="15"/>
    </row>
    <row r="125" customFormat="false" ht="15" hidden="false" customHeight="false" outlineLevel="0" collapsed="false">
      <c r="A125" s="15" t="s">
        <v>1350</v>
      </c>
      <c r="B125" s="15" t="s">
        <v>1578</v>
      </c>
      <c r="C125" s="15"/>
      <c r="D125" s="15"/>
      <c r="E125" s="27" t="s">
        <v>734</v>
      </c>
      <c r="F125" s="15" t="s">
        <v>82</v>
      </c>
      <c r="G125" s="15"/>
    </row>
    <row r="126" customFormat="false" ht="15" hidden="false" customHeight="false" outlineLevel="0" collapsed="false">
      <c r="A126" s="15" t="s">
        <v>1350</v>
      </c>
      <c r="B126" s="15" t="s">
        <v>1579</v>
      </c>
      <c r="C126" s="15"/>
      <c r="D126" s="15"/>
      <c r="E126" s="27" t="s">
        <v>1580</v>
      </c>
      <c r="F126" s="15" t="s">
        <v>82</v>
      </c>
      <c r="G126" s="15"/>
    </row>
    <row r="127" customFormat="false" ht="15" hidden="false" customHeight="false" outlineLevel="0" collapsed="false">
      <c r="A127" s="15" t="s">
        <v>1353</v>
      </c>
      <c r="B127" s="15" t="s">
        <v>1581</v>
      </c>
      <c r="C127" s="15"/>
      <c r="D127" s="15"/>
      <c r="E127" s="27" t="s">
        <v>1582</v>
      </c>
      <c r="F127" s="15" t="s">
        <v>82</v>
      </c>
      <c r="G127" s="15"/>
    </row>
    <row r="128" customFormat="false" ht="15" hidden="false" customHeight="false" outlineLevel="0" collapsed="false">
      <c r="A128" s="15" t="s">
        <v>1353</v>
      </c>
      <c r="B128" s="15" t="s">
        <v>1583</v>
      </c>
      <c r="C128" s="15"/>
      <c r="D128" s="15"/>
      <c r="E128" s="27" t="s">
        <v>1584</v>
      </c>
      <c r="F128" s="15" t="s">
        <v>82</v>
      </c>
      <c r="G128" s="15"/>
    </row>
    <row r="129" customFormat="false" ht="15" hidden="false" customHeight="false" outlineLevel="0" collapsed="false">
      <c r="A129" s="15" t="s">
        <v>1353</v>
      </c>
      <c r="B129" s="15" t="s">
        <v>1585</v>
      </c>
      <c r="C129" s="15"/>
      <c r="D129" s="15"/>
      <c r="E129" s="27" t="s">
        <v>1586</v>
      </c>
      <c r="F129" s="15" t="s">
        <v>82</v>
      </c>
      <c r="G129" s="15"/>
    </row>
    <row r="130" customFormat="false" ht="15" hidden="false" customHeight="false" outlineLevel="0" collapsed="false">
      <c r="A130" s="15" t="s">
        <v>1353</v>
      </c>
      <c r="B130" s="15" t="s">
        <v>1587</v>
      </c>
      <c r="C130" s="15"/>
      <c r="D130" s="15"/>
      <c r="E130" s="27" t="s">
        <v>1588</v>
      </c>
      <c r="F130" s="15" t="s">
        <v>82</v>
      </c>
      <c r="G130" s="15"/>
    </row>
    <row r="131" customFormat="false" ht="23.85" hidden="false" customHeight="false" outlineLevel="0" collapsed="false">
      <c r="A131" s="15" t="s">
        <v>1355</v>
      </c>
      <c r="B131" s="15" t="s">
        <v>1589</v>
      </c>
      <c r="C131" s="15" t="s">
        <v>1381</v>
      </c>
      <c r="D131" s="15" t="s">
        <v>1590</v>
      </c>
      <c r="E131" s="27" t="s">
        <v>1591</v>
      </c>
      <c r="F131" s="15" t="s">
        <v>82</v>
      </c>
      <c r="G131" s="15" t="s">
        <v>1592</v>
      </c>
    </row>
    <row r="132" customFormat="false" ht="15" hidden="false" customHeight="false" outlineLevel="0" collapsed="false">
      <c r="A132" s="15" t="s">
        <v>1344</v>
      </c>
      <c r="B132" s="15" t="s">
        <v>1593</v>
      </c>
      <c r="C132" s="15"/>
      <c r="D132" s="15"/>
      <c r="E132" s="27" t="s">
        <v>791</v>
      </c>
      <c r="F132" s="15" t="s">
        <v>1594</v>
      </c>
      <c r="G132" s="15"/>
    </row>
    <row r="133" customFormat="false" ht="15" hidden="false" customHeight="false" outlineLevel="0" collapsed="false">
      <c r="A133" s="15" t="s">
        <v>1344</v>
      </c>
      <c r="B133" s="15" t="s">
        <v>1595</v>
      </c>
      <c r="C133" s="15"/>
      <c r="D133" s="15"/>
      <c r="E133" s="27" t="s">
        <v>762</v>
      </c>
      <c r="F133" s="15" t="s">
        <v>84</v>
      </c>
      <c r="G133" s="15"/>
    </row>
    <row r="134" customFormat="false" ht="15" hidden="false" customHeight="false" outlineLevel="0" collapsed="false">
      <c r="A134" s="15" t="s">
        <v>1344</v>
      </c>
      <c r="B134" s="15" t="s">
        <v>1596</v>
      </c>
      <c r="C134" s="15"/>
      <c r="D134" s="15"/>
      <c r="E134" s="27" t="s">
        <v>780</v>
      </c>
      <c r="F134" s="15" t="s">
        <v>84</v>
      </c>
      <c r="G134" s="15"/>
    </row>
    <row r="135" customFormat="false" ht="15" hidden="false" customHeight="false" outlineLevel="0" collapsed="false">
      <c r="A135" s="15" t="s">
        <v>1350</v>
      </c>
      <c r="B135" s="15" t="s">
        <v>1597</v>
      </c>
      <c r="C135" s="15"/>
      <c r="D135" s="15"/>
      <c r="E135" s="27" t="s">
        <v>769</v>
      </c>
      <c r="F135" s="15" t="s">
        <v>84</v>
      </c>
      <c r="G135" s="15"/>
    </row>
    <row r="136" customFormat="false" ht="15" hidden="false" customHeight="false" outlineLevel="0" collapsed="false">
      <c r="A136" s="15" t="s">
        <v>1353</v>
      </c>
      <c r="B136" s="15" t="s">
        <v>1598</v>
      </c>
      <c r="C136" s="15"/>
      <c r="D136" s="15"/>
      <c r="E136" s="27" t="s">
        <v>1599</v>
      </c>
      <c r="F136" s="15" t="s">
        <v>84</v>
      </c>
      <c r="G136" s="15"/>
    </row>
    <row r="137" customFormat="false" ht="15" hidden="false" customHeight="false" outlineLevel="0" collapsed="false">
      <c r="A137" s="15" t="s">
        <v>1344</v>
      </c>
      <c r="B137" s="15" t="s">
        <v>1600</v>
      </c>
      <c r="C137" s="15"/>
      <c r="D137" s="15"/>
      <c r="E137" s="27" t="s">
        <v>798</v>
      </c>
      <c r="F137" s="15" t="s">
        <v>86</v>
      </c>
      <c r="G137" s="15"/>
    </row>
  </sheetData>
  <autoFilter ref="A1:G137"/>
  <hyperlinks>
    <hyperlink ref="E2" r:id="rId1" display="https://udlbook.github.io/udlbook/"/>
    <hyperlink ref="E3" r:id="rId2" display="https://cs336.stanford.edu/lectures/?trace=lecture_02"/>
    <hyperlink ref="E4" r:id="rId3" display="https://github.com/anshu8830/anshu/blob/main/curriculum/concepts/01-attention-and-transformer.md"/>
    <hyperlink ref="E5" r:id="rId4" display="https://jalammar.github.io/illustrated-transformer/"/>
    <hyperlink ref="E6" r:id="rId5" display="https://explained.ai/matrix-calculus/"/>
    <hyperlink ref="E7" r:id="rId6" display="https://nlp.seas.harvard.edu/annotated-transformer/"/>
    <hyperlink ref="E8" r:id="rId7" display="http://ccr.sigcomm.org/online/files/p83-keshavA.pdf"/>
    <hyperlink ref="E9" r:id="rId8" display="https://www.youtube.com/watch?v=q8SA3rM6ckI"/>
    <hyperlink ref="E10" r:id="rId9" display="https://www.youtube.com/watch?v=wjZofJX0v4M"/>
    <hyperlink ref="E11" r:id="rId10" display="https://www.youtube.com/watch?v=eMlx5fFNoYc"/>
    <hyperlink ref="E12" r:id="rId11" display="https://www.youtube.com/watch?v=kCc8FmEb1nY"/>
    <hyperlink ref="E13" r:id="rId12" display="https://github.com/stanford-cs336/lectures/blob/main/lecture_03.pdf"/>
    <hyperlink ref="E14" r:id="rId13" display="https://magazine.sebastianraschka.com/p/the-big-llm-architecture-comparison"/>
    <hyperlink ref="E15" r:id="rId14" display="https://github.com/rasbt/LLMs-from-scratch"/>
    <hyperlink ref="E16" r:id="rId15" display="https://www.youtube.com/watch?v=lVynu4bo1rY"/>
    <hyperlink ref="E17" r:id="rId16" display="https://www.youtube.com/watch?v=Mn_9W1nCFLo"/>
    <hyperlink ref="E18" r:id="rId17" display="https://github.com/stanford-cs336/assignment1-basics"/>
    <hyperlink ref="E19" r:id="rId18" display="https://www.youtube.com/watch?v=zduSFxRajkE"/>
    <hyperlink ref="E20" r:id="rId19" display="https://github.com/anshu8830/anshu/blob/main/curriculum/concepts/02-prompt-to-next-token.md"/>
    <hyperlink ref="E21" r:id="rId20" display="https://github.com/karpathy/minbpe"/>
    <hyperlink ref="E22" r:id="rId21" display="https://github.com/karpathy/nanoGPT"/>
    <hyperlink ref="E23" r:id="rId22" display="http://karpathy.github.io/2019/04/25/recipe/"/>
    <hyperlink ref="E24" r:id="rId23" display="https://www.youtube.com/watch?v=JuoVZkPBiKk"/>
    <hyperlink ref="E25" r:id="rId24" display="https://cs336.stanford.edu/lectures/?trace=lecture_10"/>
    <hyperlink ref="E26" r:id="rId25" display="https://github.com/stanford-cs336/lectures/blob/main/lecture_09.pdf"/>
    <hyperlink ref="E27" r:id="rId26" display="https://github.com/stanford-cs336/lectures/blob/main/lecture_04.pdf"/>
    <hyperlink ref="E28" r:id="rId27" display="https://kipply.github.io/blog/transformer-inference-arithmetic/"/>
    <hyperlink ref="E29" r:id="rId28" display="https://newsletter.maartengrootendorst.com/p/a-visual-guide-to-mixture-of-experts"/>
    <hyperlink ref="E30" r:id="rId29" display="https://bbycroft.net/llm"/>
    <hyperlink ref="E31" r:id="rId30" display="https://www.youtube.com/playlist?list=PLoROMvodv4rMqXOcazWaTUHhq-yembLCV"/>
    <hyperlink ref="E32" r:id="rId31" display="https://www.youtube.com/watch?v=9vM4p9NN0Ts"/>
    <hyperlink ref="E33" r:id="rId32" display="https://github.com/anshu8830/anshu/blob/main/curriculum/concepts/03-retrieval-and-vector-search.md"/>
    <hyperlink ref="E34" r:id="rId33" display="https://nlp.stanford.edu/IR-book/html/htmledition/irbook.html"/>
    <hyperlink ref="E35" r:id="rId34" display="https://www.pinecone.io/learn/series/faiss/"/>
    <hyperlink ref="E36" r:id="rId35" display="https://github.com/xhluca/bm25s"/>
    <hyperlink ref="E37" r:id="rId36" display="https://arxiv.org/abs/2401.08281"/>
    <hyperlink ref="E38" r:id="rId37" display="https://github.com/pgvector/pgvector"/>
    <hyperlink ref="E39" r:id="rId38" display="https://qdrant.tech/documentation/"/>
    <hyperlink ref="E40" r:id="rId39" display="https://sbert.net/"/>
    <hyperlink ref="E41" r:id="rId40" display="https://www.youtube.com/watch?v=QvKMwLjdK-s"/>
    <hyperlink ref="E42" r:id="rId41" display="https://arxiv.org/abs/2005.11401"/>
    <hyperlink ref="E43" r:id="rId42" display="https://parlance-labs.com/education/rag/ben.html"/>
    <hyperlink ref="E44" r:id="rId43" display="https://www.anthropic.com/news/contextual-retrieval"/>
    <hyperlink ref="E45" r:id="rId44" display="https://docling-project.github.io/docling/"/>
    <hyperlink ref="E46" r:id="rId45" display="https://github.com/anshu8830/anshu/blob/main/curriculum/concepts/04-rag-and-evaluation-metrics.md"/>
    <hyperlink ref="E47" r:id="rId46" display="https://arxiv.org/abs/2402.03216"/>
    <hyperlink ref="E48" r:id="rId47" display="https://arxiv.org/abs/2004.12832"/>
    <hyperlink ref="E49" r:id="rId48" display="https://www.youtube.com/watch?v=mE7IDf2SmJg"/>
    <hyperlink ref="E50" r:id="rId49" display="https://www.youtube.com/watch?v=0nA5QG3087g"/>
    <hyperlink ref="E51" r:id="rId50" display="https://hamel.dev/blog/posts/evals/"/>
    <hyperlink ref="E52" r:id="rId51" display="https://hamel.dev/blog/posts/llm-judge/"/>
    <hyperlink ref="E53" r:id="rId52" display="https://www.anthropic.com/engineering/demystifying-evals-for-ai-agents"/>
    <hyperlink ref="E54" r:id="rId53" display="https://eugeneyan.com/writing/llm-evaluators/"/>
    <hyperlink ref="E55" r:id="rId54" display="https://huggingface.co/spaces/OpenEvals/evaluation-guidebook"/>
    <hyperlink ref="E56" r:id="rId55" display="https://cs336.stanford.edu/lectures/?trace=lecture_12"/>
    <hyperlink ref="E57" r:id="rId56" display="https://docs.ragas.io/en/stable/concepts/metrics/available_metrics/"/>
    <hyperlink ref="E58" r:id="rId57" display="https://inspect.aisi.org.uk/"/>
    <hyperlink ref="E59" r:id="rId58" display="https://github.com/EleutherAI/lm-evaluation-harness"/>
    <hyperlink ref="E60" r:id="rId59" display="https://huggingface.co/learn/llm-course/chapter11/1"/>
    <hyperlink ref="E61" r:id="rId60" display="https://github.com/stanford-cs336/lectures/blob/main/lecture_15.pdf"/>
    <hyperlink ref="E62" r:id="rId61" display="https://thinkingmachines.ai/blog/lora/"/>
    <hyperlink ref="E63" r:id="rId62" display="https://github.com/anshu8830/anshu/blob/main/curriculum/concepts/05-post-training-math.md"/>
    <hyperlink ref="E64" r:id="rId63" display="https://huggingface.co/docs/transformers/chat_templating"/>
    <hyperlink ref="E65" r:id="rId64" display="https://huggingface.co/docs/trl/sft_trainer"/>
    <hyperlink ref="E66" r:id="rId65" display="https://unsloth.ai/docs/get-started/fine-tuning-llms-guide"/>
    <hyperlink ref="E67" r:id="rId66" display="https://github.com/huggingface/smol-course"/>
    <hyperlink ref="E68" r:id="rId67" display="https://newsletter.maartengrootendorst.com/p/a-visual-guide-to-quantization"/>
    <hyperlink ref="E69" r:id="rId68" display="https://huggingface.co/docs/trl/en/lora_without_regret"/>
    <hyperlink ref="E70" r:id="rId69" display="https://spinningup.openai.com/en/latest/"/>
    <hyperlink ref="E71" r:id="rId70" display="https://rlhfbook.com/"/>
    <hyperlink ref="E72" r:id="rId71" display="https://github.com/stanford-cs336/lectures/blob/main/lecture_16.pdf"/>
    <hyperlink ref="E73" r:id="rId72" display="https://huggingface.co/learn/llm-course/chapter12"/>
    <hyperlink ref="E74" r:id="rId73" display="https://github.com/rasbt/reasoning-from-scratch"/>
    <hyperlink ref="E75" r:id="rId74" display="https://lilianweng.github.io/posts/2025-05-01-thinking/"/>
    <hyperlink ref="E76" r:id="rId75" display="https://lilianweng.github.io/posts/2024-11-28-reward-hacking/"/>
    <hyperlink ref="E77" r:id="rId76" display="https://github.com/stanford-cs336/assignment5-alignment"/>
    <hyperlink ref="E78" r:id="rId77" display="https://www.youtube.com/watch?v=AKbX1Zvo7r8"/>
    <hyperlink ref="E79" r:id="rId78" display="https://www.youtube.com/watch?v=qGyFrqc34yc"/>
    <hyperlink ref="E80" r:id="rId79" display="https://www.youtube.com/watch?v=hvGa5Mba4c8"/>
    <hyperlink ref="E81" r:id="rId80" display="https://www.anthropic.com/engineering/building-effective-agents"/>
    <hyperlink ref="E82" r:id="rId81" display="https://www.anthropic.com/engineering/effective-context-engineering-for-ai-agents"/>
    <hyperlink ref="E83" r:id="rId82" display="https://modelcontextprotocol.io/specification/2026-07-28"/>
    <hyperlink ref="E84" r:id="rId83" display="https://blog.modelcontextprotocol.io/posts/2026-07-28/"/>
    <hyperlink ref="E85" r:id="rId84" display="https://www.anthropic.com/engineering/writing-tools-for-agents"/>
    <hyperlink ref="E86" r:id="rId85" display="https://www.anthropic.com/engineering/multi-agent-research-system"/>
    <hyperlink ref="E87" r:id="rId86" display="https://lilianweng.github.io/posts/2023-06-23-agent/"/>
    <hyperlink ref="E88" r:id="rId87" display="https://academy.langchain.com/courses/intro-to-langgraph"/>
    <hyperlink ref="E89" r:id="rId88" display="https://huggingface.co/learn/mcp-course/en/unit0/introduction"/>
    <hyperlink ref="E90" r:id="rId89" display="https://huggingface.co/learn/agents-course/en/unit0/introduction"/>
    <hyperlink ref="E91" r:id="rId90" display="https://docs.langchain.com/oss/python/langgraph/overview"/>
    <hyperlink ref="E92" r:id="rId91" display="https://docs.langchain.com/oss/python/langchain/middleware/overview"/>
    <hyperlink ref="E93" r:id="rId92" display="https://reference.langchain.com/python/langchain/agents/factory/create_agent"/>
    <hyperlink ref="E94" r:id="rId93" display="https://docs.langchain.com/langsmith/evaluation"/>
    <hyperlink ref="E95" r:id="rId94" display="https://huggingface.co/learn/agents-course/unit2/langgraph/introduction"/>
    <hyperlink ref="E96" r:id="rId95" display="https://openai.github.io/openai-agents-python/"/>
    <hyperlink ref="E97" r:id="rId96" display="https://developers.llamaindex.ai/python/framework/module_guides/workflow/"/>
    <hyperlink ref="E98" r:id="rId97" display="https://huggingface.co/docs/smolagents"/>
    <hyperlink ref="E99" r:id="rId98" display="https://genai.owasp.org/llm-top-10/"/>
    <hyperlink ref="E100" r:id="rId99" display="https://simonwillison.net/2025/Jun/16/the-lethal-trifecta/"/>
    <hyperlink ref="E101" r:id="rId100" display="https://github.com/SWE-agent/mini-swe-agent"/>
    <hyperlink ref="E102" r:id="rId101" display="https://www.youtube.com/watch?v=D7_ipDqhtwk"/>
    <hyperlink ref="E103" r:id="rId102" display="https://modal.com/gpu-glossary"/>
    <hyperlink ref="E104" r:id="rId103" display="https://jax-ml.github.io/scaling-book/roofline/"/>
    <hyperlink ref="E105" r:id="rId104" display="https://horace.io/brrr_intro.html"/>
    <hyperlink ref="E106" r:id="rId105" display="https://www.aleksagordic.com/blog/vllm"/>
    <hyperlink ref="E107" r:id="rId106" display="https://github.com/anshu8830/anshu/blob/main/curriculum/concepts/06-gpu-and-inference-math.md"/>
    <hyperlink ref="E108" r:id="rId107" display="https://github.com/stanford-cs336/lectures/blob/main/lecture_05.pdf"/>
    <hyperlink ref="E109" r:id="rId108" display="https://cs336.stanford.edu/lectures/?trace=lecture_06"/>
    <hyperlink ref="E110" r:id="rId109" display="https://triton-lang.org/main/getting-started/tutorials/"/>
    <hyperlink ref="E111" r:id="rId110" display="https://docs.vllm.ai/en/stable/design/prefix_caching/"/>
    <hyperlink ref="E112" r:id="rId111" display="https://nvidia.github.io/TensorRT-LLM/"/>
    <hyperlink ref="E113" r:id="rId112" display="https://github.com/gpu-mode/lectures"/>
    <hyperlink ref="E114" r:id="rId113" display="https://www.youtube.com/watch?v=gMOAud7hZg4"/>
    <hyperlink ref="E115" r:id="rId114" display="https://www.youtube.com/watch?v=Oq2SN7uutbQ"/>
    <hyperlink ref="E116" r:id="rId115" display="https://www.youtube.com/watch?v=S-8yr_RibJ4"/>
    <hyperlink ref="E117" r:id="rId116" display="https://www.youtube.com/watch?v=zy8ChVd_oTM"/>
    <hyperlink ref="E118" r:id="rId117" display="https://huggingface.co/spaces/nanotron/ultrascale-playbook"/>
    <hyperlink ref="E119" r:id="rId118" display="https://magazine.sebastianraschka.com/p/understanding-multimodal-llms"/>
    <hyperlink ref="E120" r:id="rId119" display="https://huggingface.co/blog/vlms-2025"/>
    <hyperlink ref="E121" r:id="rId120" display="https://github.com/huggingface/nanoVLM"/>
    <hyperlink ref="E122" r:id="rId121" display="https://cs336.stanford.edu/lectures/?trace=lecture_07"/>
    <hyperlink ref="E123" r:id="rId122" display="https://cs336.stanford.edu/lectures/?trace=lecture_14"/>
    <hyperlink ref="E124" r:id="rId123" display="https://github.com/huggingface/picotron"/>
    <hyperlink ref="E125" r:id="rId124" display="https://huggingface.co/learn/computer-vision-course/en/unit4/multimodal-models/clip-and-relatives/clip"/>
    <hyperlink ref="E126" r:id="rId125" display="https://huggingface.co/blog/manu/colpali"/>
    <hyperlink ref="E127" r:id="rId126" display="https://huggingface.co/spaces/HuggingFaceTB/smol-training-playbook"/>
    <hyperlink ref="E128" r:id="rId127" display="https://github.com/stas00/ml-engineering"/>
    <hyperlink ref="E129" r:id="rId128" display="https://huggingface.co/learn/audio-course/en/chapter6/introduction"/>
    <hyperlink ref="E130" r:id="rId129" display="https://cs336.stanford.edu/lectures/?trace=lecture_17"/>
    <hyperlink ref="E131" r:id="rId130" display="https://www.youtube.com/watch?v=vAmKB7iPkWw"/>
    <hyperlink ref="E132" r:id="rId131" display="https://github.com/anshu8830/anshu/blob/main/curriculum/09-capstone-ai-software-engineer.md"/>
    <hyperlink ref="E133" r:id="rId132" display="https://aider.chat/docs/repomap.html"/>
    <hyperlink ref="E134" r:id="rId133" display="https://github.com/SWE-bench/SWE-bench"/>
    <hyperlink ref="E135" r:id="rId134" display="https://arxiv.org/abs/2406.18665"/>
    <hyperlink ref="E136" r:id="rId135" display="https://www.swebench.com/"/>
    <hyperlink ref="E137" r:id="rId136" display="https://github.com/anshu8830/anshu/blob/main/curriculum/10-2027-continuation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2026-09-28T18:14:20Z</dcterms:created>
  <dc:creator>openpyxl</dc:creator>
  <dc:description/>
  <dc:language>en-US</dc:language>
  <cp:lastModifiedBy/>
  <dcterms:modified xsi:type="dcterms:W3CDTF">2026-09-28T18:14:21Z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